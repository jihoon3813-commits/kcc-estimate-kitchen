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01-2. KCC(주방)\2. 견적\1.견적서\"/>
    </mc:Choice>
  </mc:AlternateContent>
  <xr:revisionPtr revIDLastSave="0" documentId="13_ncr:1_{74EA69FD-43CB-4731-963E-804E3D92DDD2}" xr6:coauthVersionLast="47" xr6:coauthVersionMax="47" xr10:uidLastSave="{00000000-0000-0000-0000-000000000000}"/>
  <bookViews>
    <workbookView xWindow="73290" yWindow="840" windowWidth="26745" windowHeight="19845" xr2:uid="{00000000-000D-0000-FFFF-FFFF00000000}"/>
  </bookViews>
  <sheets>
    <sheet name="견적서_벤더 송부용 (신형식)" sheetId="19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___DAT4">[1]Sheet1!#REF!</definedName>
    <definedName name="___DAT1">#REF!</definedName>
    <definedName name="___DAT10">#REF!</definedName>
    <definedName name="___DAT2">#REF!</definedName>
    <definedName name="___DAT3">#REF!</definedName>
    <definedName name="___DAT4">[1]Sheet1!#REF!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DAT1">#REF!</definedName>
    <definedName name="__DAT10">#REF!</definedName>
    <definedName name="__DAT2">#REF!</definedName>
    <definedName name="__DAT3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1._기고객_DM_발송">#REF!</definedName>
    <definedName name="_1._수요_예측_신상품_90___런닝상품_95">#REF!</definedName>
    <definedName name="_1.1_장기_수요예측에_의한__전략적_구매">#REF!</definedName>
    <definedName name="_1회_시공마감율_88__→_89">#REF!</definedName>
    <definedName name="_2._R_Time_정보_공유_체제_구축__벤더_본사_유통망">#REF!</definedName>
    <definedName name="_2._신상품_프로세스">#REF!</definedName>
    <definedName name="_3._구매__물류_업무_구분">#REF!</definedName>
    <definedName name="_3.2_ATP_관리_생산좌석__시공좌석제_운영">#REF!</definedName>
    <definedName name="_33평">[2]마감사양!#REF!</definedName>
    <definedName name="_4.1_소품_프로세스_개선">#REF!</definedName>
    <definedName name="_4.2_3자_거래_소파__프로세스_개선">#REF!</definedName>
    <definedName name="_DAT1">#REF!</definedName>
    <definedName name="_DAT10">#REF!</definedName>
    <definedName name="_DAT2">#REF!</definedName>
    <definedName name="_DAT3">#REF!</definedName>
    <definedName name="_DAT4">[1]Sheet1!#REF!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hidden="1">#REF!</definedName>
    <definedName name="_Order1" hidden="1">255</definedName>
    <definedName name="_Order2" hidden="1">0</definedName>
    <definedName name="_Regression_Out" hidden="1">'[3]95년기준조정'!$T$5:$T$5</definedName>
    <definedName name="_Regression_X" hidden="1">'[3]95년기준조정'!$J$5:$L$18</definedName>
    <definedName name="_Regression_Y" hidden="1">'[3]95년기준조정'!$S$5:$S$18</definedName>
    <definedName name="\a">'[4]1'!#REF!</definedName>
    <definedName name="\p">#N/A</definedName>
    <definedName name="\q">'[4]1'!#REF!</definedName>
    <definedName name="\s">'[4]1'!#REF!</definedName>
    <definedName name="\z">'[4]1'!#REF!</definedName>
    <definedName name="A">#REF!</definedName>
    <definedName name="aa">#REF!</definedName>
    <definedName name="ABC">#REF!</definedName>
    <definedName name="ACC" localSheetId="0">[5]!표91[ACC]</definedName>
    <definedName name="ACC">[5]!표91[ACC]</definedName>
    <definedName name="AD">#REF!</definedName>
    <definedName name="cf.__신영__사례_0.54__→_0.27">#REF!</definedName>
    <definedName name="CHART" hidden="1">[6]비주거용!$D$4:$D$16</definedName>
    <definedName name="Country_Ori">#REF!</definedName>
    <definedName name="Currency">#REF!</definedName>
    <definedName name="C채널흑니켈" localSheetId="0">[5]!표85[C채널흑니켈]</definedName>
    <definedName name="C채널흑니켈">[5]!표85[C채널흑니켈]</definedName>
    <definedName name="d">'[4]1'!#REF!</definedName>
    <definedName name="DATA">#REF!</definedName>
    <definedName name="_xlnm.Database">#REF!</definedName>
    <definedName name="dbo_AMon9904_Intel">#REF!</definedName>
    <definedName name="dbo_ASA411P9905">#REF!</definedName>
    <definedName name="dbo_Atest">#REF!</definedName>
    <definedName name="DD">#REF!</definedName>
    <definedName name="Department">#REF!</definedName>
    <definedName name="dfsa">#REF!</definedName>
    <definedName name="Dimension">#REF!</definedName>
    <definedName name="Drawn_JPY">#REF!</definedName>
    <definedName name="Drawn_USD">#REF!</definedName>
    <definedName name="efffffv" hidden="1">#REF!</definedName>
    <definedName name="EP" localSheetId="0">[5]!표19[EP]</definedName>
    <definedName name="EP">[5]!표19[EP]</definedName>
    <definedName name="F">#REF!</definedName>
    <definedName name="fgdff">#REF!</definedName>
    <definedName name="FOB">#REF!</definedName>
    <definedName name="GHDRLDEHD">#REF!</definedName>
    <definedName name="GMB" hidden="1">#REF!</definedName>
    <definedName name="gmb용도" hidden="1">#REF!</definedName>
    <definedName name="HTML_CodePage" hidden="1">949</definedName>
    <definedName name="HTML_Control" hidden="1">{"'7-2지역별'!$A$1:$R$44"}</definedName>
    <definedName name="HTML_Description" hidden="1">""</definedName>
    <definedName name="HTML_Email" hidden="1">""</definedName>
    <definedName name="HTML_Header" hidden="1">"7-2지역별"</definedName>
    <definedName name="HTML_LastUpdate" hidden="1">"98-11-28"</definedName>
    <definedName name="HTML_LineAfter" hidden="1">FALSE</definedName>
    <definedName name="HTML_LineBefore" hidden="1">FALSE</definedName>
    <definedName name="HTML_Name" hidden="1">"서준호"</definedName>
    <definedName name="HTML_OBDlg2" hidden="1">TRUE</definedName>
    <definedName name="HTML_OBDlg4" hidden="1">TRUE</definedName>
    <definedName name="HTML_OS" hidden="1">0</definedName>
    <definedName name="HTML_PathFile" hidden="1">"C:\My Documents\981151"</definedName>
    <definedName name="HTML_Title" hidden="1">"월보"</definedName>
    <definedName name="KKK">#REF!</definedName>
    <definedName name="MailTo_JPY">#REF!</definedName>
    <definedName name="MailTo_USD">#REF!</definedName>
    <definedName name="MH세발미수">#REF!</definedName>
    <definedName name="N1단서랍장" localSheetId="0">[5]!표73[n1단서랍장]</definedName>
    <definedName name="N1단서랍장">[5]!표73[n1단서랍장]</definedName>
    <definedName name="n1단플랩장" localSheetId="0">[5]!표35[n1단플랩장]</definedName>
    <definedName name="n1단플랩장">[5]!표35[n1단플랩장]</definedName>
    <definedName name="n2단서랍장" localSheetId="0">[5]!표23[n2단서랍장]</definedName>
    <definedName name="n2단서랍장">[5]!표23[n2단서랍장]</definedName>
    <definedName name="n2단이너서랍장" localSheetId="0">[5]!표24[n2단이너서랍장]</definedName>
    <definedName name="n2단이너서랍장">[5]!표24[n2단이너서랍장]</definedName>
    <definedName name="n2단플랩장" localSheetId="0">[5]!표36[n2단플랩장]</definedName>
    <definedName name="n2단플랩장">[5]!표36[n2단플랩장]</definedName>
    <definedName name="n3단서랍장" localSheetId="0">[5]!표25[n3단서랍장]</definedName>
    <definedName name="n3단서랍장">[5]!표25[n3단서랍장]</definedName>
    <definedName name="PICTURE">#REF!</definedName>
    <definedName name="Picture01">#REF!</definedName>
    <definedName name="Picture32">#REF!</definedName>
    <definedName name="_xlnm.Print_Area" localSheetId="0">'견적서_벤더 송부용 (신형식)'!$A$1:$AD$48</definedName>
    <definedName name="_xlnm.Print_Area">#REF!</definedName>
    <definedName name="PRINT_AREA_MI">#REF!</definedName>
    <definedName name="print_tiltes">#REF!</definedName>
    <definedName name="_xlnm.Print_Titles">#REF!</definedName>
    <definedName name="Pur_Grp">#REF!</definedName>
    <definedName name="Rank">#REF!</definedName>
    <definedName name="_xlnm.Recorder">#REF!</definedName>
    <definedName name="rectangle1">#REF!</definedName>
    <definedName name="ReimBK_JPY">#REF!</definedName>
    <definedName name="ReimBK_USD">#REF!</definedName>
    <definedName name="renego_jpy">#REF!</definedName>
    <definedName name="renego_usd">#REF!</definedName>
    <definedName name="RF">#REF!</definedName>
    <definedName name="sdf" hidden="1">[7]GC산출!$B$51:$D$58</definedName>
    <definedName name="sds">#REF!</definedName>
    <definedName name="SK">#REF!</definedName>
    <definedName name="SKSKSKSKSKSK">#REF!</definedName>
    <definedName name="ss">#REF!</definedName>
    <definedName name="Tax">#REF!</definedName>
    <definedName name="tenor_JPY">#REF!</definedName>
    <definedName name="tenor_USD">#REF!</definedName>
    <definedName name="TEST0">#REF!</definedName>
    <definedName name="TESTHKEY">#REF!</definedName>
    <definedName name="TESTKEYS">#REF!</definedName>
    <definedName name="TESTVKEY">#REF!</definedName>
    <definedName name="UoM">#REF!</definedName>
    <definedName name="uu" hidden="1">[8]조선용암면!$B$9:$C$16</definedName>
    <definedName name="Volume">#REF!</definedName>
    <definedName name="WACHT45">#REF!</definedName>
    <definedName name="Weight">#REF!</definedName>
    <definedName name="WLVY" hidden="1">#REF!</definedName>
    <definedName name="X" hidden="1">'[9]95년기준조정'!$S$5:$S$18</definedName>
    <definedName name="Z_8EBD0460_4FA1_11D7_849B_000102586B50_.wvu.FilterData" hidden="1">#REF!</definedName>
    <definedName name="Z_E295AFE2_513B_11D7_892B_0004758C79A8_.wvu.FilterData" hidden="1">#REF!</definedName>
    <definedName name="Z_E295AFE2_513B_11D7_892B_0004758C79A8_.wvu.PrintArea" hidden="1">#REF!</definedName>
    <definedName name="Z_E295AFE2_513B_11D7_892B_0004758C79A8_.wvu.PrintTitles" hidden="1">#REF!</definedName>
    <definedName name="zz">'[10]02.설비등급기준표'!$A$1:$A$65536</definedName>
    <definedName name="ㄱㄱㄱ">#REF!</definedName>
    <definedName name="가">#REF!</definedName>
    <definedName name="가공" localSheetId="0">[5]!표96[가공]</definedName>
    <definedName name="가공">[5]!표96[가공]</definedName>
    <definedName name="가전소물1단오픈장" localSheetId="0">[5]!표80[가전소물1단오픈장]</definedName>
    <definedName name="가전소물1단오픈장">[5]!표80[가전소물1단오픈장]</definedName>
    <definedName name="가전소물1단중간장" localSheetId="0">[5]!표81[가전소물1단중간장]</definedName>
    <definedName name="가전소물1단중간장">[5]!표81[가전소물1단중간장]</definedName>
    <definedName name="가전소물2단중간장" localSheetId="0">[5]!표82[가전소물2단중간장]</definedName>
    <definedName name="가전소물2단중간장">[5]!표82[가전소물2단중간장]</definedName>
    <definedName name="가전소물상부장" localSheetId="0">[5]!표45[가전소물상부장]</definedName>
    <definedName name="가전소물상부장">[5]!표45[가전소물상부장]</definedName>
    <definedName name="강">#REF!</definedName>
    <definedName name="개발·상품기획·조달·물류의__Concurrent_Engineering_구축">#REF!</definedName>
    <definedName name="개발지원">#REF!</definedName>
    <definedName name="개선방안">#REF!</definedName>
    <definedName name="개요">#REF!</definedName>
    <definedName name="건재" hidden="1">[11]산출근거!$BF$6:$BF$15</definedName>
    <definedName name="건재이관">[12]매출!$E$5:$E$118</definedName>
    <definedName name="건축" hidden="1">[13]비주거용!$D$4:$D$16</definedName>
    <definedName name="게선1">#REF!</definedName>
    <definedName name="경제지표" hidden="1">[14]산출근거!$BF$6:$BF$15</definedName>
    <definedName name="계8">[15]계획08!$A$1:$IV$65536</definedName>
    <definedName name="계획">#REF!</definedName>
    <definedName name="고기종04PP">#REF!</definedName>
    <definedName name="고기종24" hidden="1">#REF!</definedName>
    <definedName name="공무">'[16]02.설비등급기준표'!$A$4:$I$335</definedName>
    <definedName name="공장">OFFSET([17]지우지말것!$A$2,0,0,COUNTA([17]지우지말것!$A$1:$A$65536)-1,1)</definedName>
    <definedName name="공장예산평가_1분기" hidden="1">#REF!</definedName>
    <definedName name="공통" localSheetId="0">[5]!표89[공통]</definedName>
    <definedName name="공통">[5]!표89[공통]</definedName>
    <definedName name="과단위">#REF!</definedName>
    <definedName name="과조직">#REF!</definedName>
    <definedName name="구매팀">[18]DATA!#REF!</definedName>
    <definedName name="구분">[18]DATA!#REF!</definedName>
    <definedName name="국산MMA_리스트">'[19]상판 라인업'!$C$2:$C$17</definedName>
    <definedName name="규격단위">[18]DATA!#REF!</definedName>
    <definedName name="규호">#REF!</definedName>
    <definedName name="금액">[20]Sheet6!$A$2:$C$103</definedName>
    <definedName name="기본규정">#REF!</definedName>
    <definedName name="기타1" localSheetId="0">[5]!표71[기타1]</definedName>
    <definedName name="기타1">[5]!표71[기타1]</definedName>
    <definedName name="ㄴ">#REF!</definedName>
    <definedName name="ㄴㄴ">#REF!</definedName>
    <definedName name="ㄴㄴㄴ">#REF!</definedName>
    <definedName name="ㄴㄴㄴㄴ">#REF!</definedName>
    <definedName name="ㄴㅇ" hidden="1">{"'7-2지역별'!$A$1:$R$44"}</definedName>
    <definedName name="ㄴㅇㄴㅇ">#REF!</definedName>
    <definedName name="나">#REF!</definedName>
    <definedName name="나나">#REF!</definedName>
    <definedName name="나나나나">#REF!</definedName>
    <definedName name="나노">#REF!</definedName>
    <definedName name="나무">#REF!</definedName>
    <definedName name="나출고요구일이야">#REF!</definedName>
    <definedName name="내수분석">#REF!</definedName>
    <definedName name="내외장" hidden="1">'[9]95년기준조정'!$T$5:$T$5</definedName>
    <definedName name="내외장재" hidden="1">'[9]95년기준조정'!$J$5:$L$18</definedName>
    <definedName name="냉장고장" localSheetId="0">[5]!표37[냉장고장]</definedName>
    <definedName name="냉장고장">[5]!표37[냉장고장]</definedName>
    <definedName name="ㄷ">#REF!</definedName>
    <definedName name="ㄷㄷㄷㄷㄷㄷㄷ">#REF!</definedName>
    <definedName name="ㄷㄷㄷㄷㄷㄷㄷㄷ">#REF!</definedName>
    <definedName name="ㄷㅇㅇㄷ">#REF!</definedName>
    <definedName name="대리점">[21]대리점판정!#REF!</definedName>
    <definedName name="도로수주" hidden="1">{"'7-2지역별'!$A$1:$R$44"}</definedName>
    <definedName name="도어바디" localSheetId="0">[5]!표2[도어바디]</definedName>
    <definedName name="도어바디">[5]!표2[도어바디]</definedName>
    <definedName name="도입_사례__루체">#REF!</definedName>
    <definedName name="등급">'[22]02.설비등급기준표'!$A$4:$I$335</definedName>
    <definedName name="또몰라">#REF!</definedName>
    <definedName name="또죽어라">#REF!</definedName>
    <definedName name="ㄹ1">#REF!</definedName>
    <definedName name="ㄹㄴㅁㄴㅇㄻ">#REF!</definedName>
    <definedName name="ㄹㄴㅇㅁㄹㅇㅁ">[1]Sheet1!#REF!</definedName>
    <definedName name="ㄹㄹ">#REF!</definedName>
    <definedName name="ㄹㄹㄹ">#REF!</definedName>
    <definedName name="ㄹㅀㅎ">#REF!</definedName>
    <definedName name="라미스도어">#REF!</definedName>
    <definedName name="리스트">[12]변경!#REF!</definedName>
    <definedName name="ㄻㄶㅀㅇㄹ몽ㅇㄻ">[23]해피콜!#REF!</definedName>
    <definedName name="ㅀ">#REF!</definedName>
    <definedName name="ㅁ">#REF!</definedName>
    <definedName name="ㅁ1">#REF!</definedName>
    <definedName name="ㅁ1200">#REF!</definedName>
    <definedName name="ㅁㄴㅇ" hidden="1">[6]비주거용!$D$4:$D$16</definedName>
    <definedName name="ㅁㄴㅇㅇㅁㄴㄻ">#REF!</definedName>
    <definedName name="ㅁㅁ">#REF!</definedName>
    <definedName name="ㅁㅁㅁ">#REF!</definedName>
    <definedName name="ㅁㅇ">#REF!</definedName>
    <definedName name="ㅁㅇㄻㄶㅎㅁ" hidden="1">#REF!</definedName>
    <definedName name="마감재" localSheetId="0">[5]!표3[마감재]</definedName>
    <definedName name="마감재">[5]!표3[마감재]</definedName>
    <definedName name="매출">#REF!</definedName>
    <definedName name="매출원가">#REF!</definedName>
    <definedName name="몰라">#REF!</definedName>
    <definedName name="무역">#REF!</definedName>
    <definedName name="무역시트">#REF!</definedName>
    <definedName name="물량">#REF!</definedName>
    <definedName name="뭐지">[24]Sheet1!#REF!</definedName>
    <definedName name="미수대책">#REF!</definedName>
    <definedName name="민선">#REF!</definedName>
    <definedName name="민선영" hidden="1">#REF!</definedName>
    <definedName name="ㅂ">#REF!</definedName>
    <definedName name="바디2" localSheetId="0">[5]!표90[바디2]</definedName>
    <definedName name="바디2">[5]!표90[바디2]</definedName>
    <definedName name="바보" hidden="1">[25]비주거용!$D$4:$D$16</definedName>
    <definedName name="발주대행__물류처리_업무_폐지">#REF!</definedName>
    <definedName name="번호">#REF!</definedName>
    <definedName name="보고싶어">'[26]의뢰건 (2)'!#REF!</definedName>
    <definedName name="복리후생">#REF!</definedName>
    <definedName name="부서명">[27]Sheet1!$A$2:$B$21</definedName>
    <definedName name="분">#REF!</definedName>
    <definedName name="분류">OFFSET([17]지우지말것!$D$2,0,0,COUNTA([17]지우지말것!$D$1:$D$65536)-1,1)</definedName>
    <definedName name="분체">#REF!</definedName>
    <definedName name="분체1">#REF!</definedName>
    <definedName name="비고">[28]전부서공통!#REF!</definedName>
    <definedName name="비스포크냉장고장" localSheetId="0">[5]!표38[비스포크냉장고장]</definedName>
    <definedName name="비스포크냉장고장">[5]!표38[비스포크냉장고장]</definedName>
    <definedName name="빠짐">#REF!</definedName>
    <definedName name="ㅅㄴ" hidden="1">{"'7-2지역별'!$A$1:$R$44"}</definedName>
    <definedName name="ㅅㅅㅅㅅ">#REF!</definedName>
    <definedName name="산출" hidden="1">[8]조선용암면!$D$9:$D$16</definedName>
    <definedName name="산출2" hidden="1">[8]조선용암면!$B$9:$C$16</definedName>
    <definedName name="산출3" hidden="1">[8]조선용암면!$D$9:$D$16</definedName>
    <definedName name="산출4" hidden="1">[8]조선용암면!$A$22:$A$22</definedName>
    <definedName name="산출5" hidden="1">[8]조선용암면!$D$9:$D$16</definedName>
    <definedName name="산출근거2" hidden="1">{"'7-2지역별'!$A$1:$R$44"}</definedName>
    <definedName name="삼단서랍장" localSheetId="0">[5]!표25[n3단서랍장]</definedName>
    <definedName name="삼단서랍장">[5]!표25[n3단서랍장]</definedName>
    <definedName name="상부EP" localSheetId="0">[5]!표58[상부EP]</definedName>
    <definedName name="상부EP">[5]!표58[상부EP]</definedName>
    <definedName name="상부서라운딩" localSheetId="0">[5]!표54[상부서라운딩]</definedName>
    <definedName name="상부서라운딩">[5]!표54[상부서라운딩]</definedName>
    <definedName name="상부일반장" localSheetId="0">[5]!표39[상부일반장]</definedName>
    <definedName name="상부일반장">[5]!표39[상부일반장]</definedName>
    <definedName name="상부장" localSheetId="0">[5]!표9[상부장]</definedName>
    <definedName name="상부장">[5]!표9[상부장]</definedName>
    <definedName name="상부후드플랩장" localSheetId="0">[5]!표40[상부후드플랩장]</definedName>
    <definedName name="상부후드플랩장">[5]!표40[상부후드플랩장]</definedName>
    <definedName name="상부휠라" localSheetId="0">[5]!표51[상부휠라]</definedName>
    <definedName name="상부휠라">[5]!표51[상부휠라]</definedName>
    <definedName name="상태">OFFSET([17]지우지말것!$B$2,0,0,COUNTA([17]지우지말것!$B$1:$B$65536)-1,1)</definedName>
    <definedName name="상판">#REF!</definedName>
    <definedName name="상품">#REF!</definedName>
    <definedName name="새것">#REF!</definedName>
    <definedName name="새로움">#REF!</definedName>
    <definedName name="샘플">[23]해피콜!#REF!</definedName>
    <definedName name="샹사">#REF!</definedName>
    <definedName name="설비">#REF!</definedName>
    <definedName name="설비2">'[22]02.설비등급기준표'!$A$1:$A$65536</definedName>
    <definedName name="설치장소">OFFSET([17]지우지말것!$E$2,0,0,COUNTA([17]지우지말것!$E$1:$E$65536)-1,1)</definedName>
    <definedName name="세라믹_리스트">'[19]상판 라인업'!$G$2:$G$24</definedName>
    <definedName name="소구내용">#REF!</definedName>
    <definedName name="소리">[29]해피콜!#REF!</definedName>
    <definedName name="소비자">#REF!</definedName>
    <definedName name="손잡이">[30]모델!#REF!</definedName>
    <definedName name="수금간접_업무_폐지__수금관리_향상">#REF!</definedName>
    <definedName name="수성코드">#REF!</definedName>
    <definedName name="수전" localSheetId="0">[5]!표95[수전]</definedName>
    <definedName name="수전">[5]!표95[수전]</definedName>
    <definedName name="수정">#REF!</definedName>
    <definedName name="수정건재" hidden="1">#REF!</definedName>
    <definedName name="수정기본계획">#REF!</definedName>
    <definedName name="수정비교" hidden="1">[31]MC산출근거!#REF!</definedName>
    <definedName name="시공">#REF!</definedName>
    <definedName name="시장">[27]Sheet1!$G$3:$H$7</definedName>
    <definedName name="식기세척기막음판" localSheetId="0">[5]!표86[식기세척기막음판]</definedName>
    <definedName name="식기세척기막음판">[5]!표86[식기세척기막음판]</definedName>
    <definedName name="신">#REF!</definedName>
    <definedName name="신부품">[32]부품!$A$2:$C$382</definedName>
    <definedName name="신정보망">#REF!</definedName>
    <definedName name="실적">#REF!</definedName>
    <definedName name="싱크볼" localSheetId="0">[5]!표92[싱크볼]</definedName>
    <definedName name="싱크볼">[5]!표92[싱크볼]</definedName>
    <definedName name="싱크하부장" localSheetId="0">[5]!표27[싱크하부장]</definedName>
    <definedName name="싱크하부장">[5]!표27[싱크하부장]</definedName>
    <definedName name="ㅇ">'[33]1'!#REF!</definedName>
    <definedName name="ㅇㄹ">#REF!</definedName>
    <definedName name="ㅇㄹㄴ">#REF!</definedName>
    <definedName name="ㅇㅇ">[18]DATA!#REF!</definedName>
    <definedName name="ㅇㅇㅇㅇ">#REF!</definedName>
    <definedName name="ㅇㅇㅇㅇㅇ">#REF!</definedName>
    <definedName name="아">#REF!</definedName>
    <definedName name="알망" hidden="1">#REF!</definedName>
    <definedName name="양문형냉장고장" localSheetId="0">[5]!표41[양문형냉장고장]</definedName>
    <definedName name="양문형냉장고장">[5]!표41[양문형냉장고장]</definedName>
    <definedName name="연구생산">#REF!</definedName>
    <definedName name="영업">#REF!</definedName>
    <definedName name="영업4">#REF!</definedName>
    <definedName name="영업본부">#REF!</definedName>
    <definedName name="오더_프로세스_단순화">#REF!</definedName>
    <definedName name="오더평준화_일피크__7억→10억">#REF!</definedName>
    <definedName name="온수분배기가림판" localSheetId="0">[5]!표63[온수분배기가림판]</definedName>
    <definedName name="온수분배기가림판">[5]!표63[온수분배기가림판]</definedName>
    <definedName name="용현">#REF!</definedName>
    <definedName name="우" hidden="1">[34]GC산출!$B$51:$D$58</definedName>
    <definedName name="원2">#REF!</definedName>
    <definedName name="원가">#REF!</definedName>
    <definedName name="원가요약">#REF!</definedName>
    <definedName name="월별상세">#REF!</definedName>
    <definedName name="유" hidden="1">[35]GC산출!$B$51:$D$58</definedName>
    <definedName name="유리" hidden="1">#REF!</definedName>
    <definedName name="유은상">#REF!</definedName>
    <definedName name="윧" hidden="1">[34]GC산출!$B$51:$D$58</definedName>
    <definedName name="이관">#REF!</definedName>
    <definedName name="이단서랍장" localSheetId="0">[5]!표23[n2단서랍장]</definedName>
    <definedName name="이단서랍장">[5]!표23[n2단서랍장]</definedName>
    <definedName name="이단이너서랍장" localSheetId="0">[5]!표24[n2단이너서랍장]</definedName>
    <definedName name="이단이너서랍장">[5]!표24[n2단이너서랍장]</definedName>
    <definedName name="이단플랩장" localSheetId="0">[5]!표36[n2단플랩장]</definedName>
    <definedName name="이단플랩장">[5]!표36[n2단플랩장]</definedName>
    <definedName name="이덕희">#REF!</definedName>
    <definedName name="인사">#REF!</definedName>
    <definedName name="인사1">#REF!</definedName>
    <definedName name="인원">#REF!</definedName>
    <definedName name="인출망장" localSheetId="0">[5]!표28[인출망장]</definedName>
    <definedName name="인출망장">[5]!표28[인출망장]</definedName>
    <definedName name="일단플랩장" localSheetId="0">[5]!표35[n1단플랩장]</definedName>
    <definedName name="일단플랩장">[5]!표35[n1단플랩장]</definedName>
    <definedName name="일람">#REF!</definedName>
    <definedName name="일람샘플">[23]해피콜!#REF!</definedName>
    <definedName name="ㅈ">#REF!</definedName>
    <definedName name="ㅈㅈ">#REF!</definedName>
    <definedName name="자산">OFFSET([17]지우지말것!$C$2,0,0,COUNTA([17]지우지말것!$C$1:$C$65536)-1,1)</definedName>
    <definedName name="자재" localSheetId="0">[5]!표1[자재]</definedName>
    <definedName name="자재">[5]!표1[자재]</definedName>
    <definedName name="자체가공비">#REF!</definedName>
    <definedName name="잔존가">OFFSET(#REF!,0,0,COUNTA(#REF!),COUNTA(#REF!))</definedName>
    <definedName name="전">#REF!</definedName>
    <definedName name="전산회계재정구매">#REF!</definedName>
    <definedName name="전상복">#REF!</definedName>
    <definedName name="전성제">#REF!</definedName>
    <definedName name="전제품25프로마진">'[4]1'!#REF!</definedName>
    <definedName name="전체">#REF!</definedName>
    <definedName name="절감금액">#REF!</definedName>
    <definedName name="정리본이다">#REF!</definedName>
    <definedName name="제품_및_스펙_단순화">#REF!</definedName>
    <definedName name="제품명">#REF!</definedName>
    <definedName name="주거용" hidden="1">[36]비주거용!$D$4:$D$16</definedName>
    <definedName name="죽어라">#REF!</definedName>
    <definedName name="중간장" localSheetId="0">[5]!표12[중간장]</definedName>
    <definedName name="중간장">[5]!표12[중간장]</definedName>
    <definedName name="중국조달의_현문제점및_대책안">#REF!</definedName>
    <definedName name="지방납기___기본납기____1일">#REF!</definedName>
    <definedName name="지분율">#REF!</definedName>
    <definedName name="지역">[27]Sheet1!$D$2:$E$21</definedName>
    <definedName name="지표" hidden="1">#REF!</definedName>
    <definedName name="지표2" hidden="1">#REF!</definedName>
    <definedName name="직매">#REF!</definedName>
    <definedName name="진짜">[18]DATA!#REF!</definedName>
    <definedName name="집계" hidden="1">[37]산출근거!$BH$17:$BH$17</definedName>
    <definedName name="집계표1" hidden="1">{"'7-2지역별'!$A$1:$R$44"}</definedName>
    <definedName name="ㅊㅇ니">#REF!</definedName>
    <definedName name="채권">#REF!</definedName>
    <definedName name="청소의날">#REF!</definedName>
    <definedName name="총무">#REF!</definedName>
    <definedName name="최종정리2" hidden="1">{"'7-2지역별'!$A$1:$R$44"}</definedName>
    <definedName name="ㅋㄷㅋㄷㅋ">#REF!</definedName>
    <definedName name="ㅋㅋ">#REF!</definedName>
    <definedName name="코너벽장" localSheetId="0">[5]!표42[코너벽장]</definedName>
    <definedName name="코너벽장">[5]!표42[코너벽장]</definedName>
    <definedName name="코너싱크하부장" localSheetId="0">[5]!표29[코너싱크하부장]</definedName>
    <definedName name="코너싱크하부장">[5]!표29[코너싱크하부장]</definedName>
    <definedName name="코너하부장" localSheetId="0">[5]!표30[코너하부장]</definedName>
    <definedName name="코너하부장">[5]!표30[코너하부장]</definedName>
    <definedName name="코드1">#REF!</definedName>
    <definedName name="쿡탑" localSheetId="0">[5]!표94[쿡탑]</definedName>
    <definedName name="쿡탑">[5]!표94[쿡탑]</definedName>
    <definedName name="쿼츠_리스트">'[19]상판 라인업'!$E$2:$E$68</definedName>
    <definedName name="키큰EP" localSheetId="0">[5]!표61[키큰EP]</definedName>
    <definedName name="키큰EP">[5]!표61[키큰EP]</definedName>
    <definedName name="키큰상부장" localSheetId="0">[5]!표46[키큰상부장]</definedName>
    <definedName name="키큰상부장">[5]!표46[키큰상부장]</definedName>
    <definedName name="키큰장" localSheetId="0">[5]!표10[키큰장]</definedName>
    <definedName name="키큰장">[5]!표10[키큰장]</definedName>
    <definedName name="특수장" localSheetId="0">[5]!표11[특수장]</definedName>
    <definedName name="특수장">[5]!표11[특수장]</definedName>
    <definedName name="특판비용">#REF!</definedName>
    <definedName name="팀평가">#REF!</definedName>
    <definedName name="판넬" localSheetId="0">[5]!표5[판넬]</definedName>
    <definedName name="판넬">[5]!표5[판넬]</definedName>
    <definedName name="판정">#REF!</definedName>
    <definedName name="판촉">#REF!</definedName>
    <definedName name="판촉조정안" hidden="1">{"'7-2지역별'!$A$1:$R$44"}</definedName>
    <definedName name="표지2" hidden="1">{"'7-2지역별'!$A$1:$R$44"}</definedName>
    <definedName name="품목별_전문가_육성">#REF!</definedName>
    <definedName name="품질관리">#REF!</definedName>
    <definedName name="피봇테이블">OFFSET(#REF!,0,0,COUNTA(#REF!),COUNTA(#REF!))</definedName>
    <definedName name="ㅎ">#REF!</definedName>
    <definedName name="ㅎㅎㅎ">#REF!</definedName>
    <definedName name="ㅎㅎㅎㅎㅎㅎㅎㅎㅎㅎㅎㅎ">#REF!</definedName>
    <definedName name="하발">[21]대리점판정!#REF!</definedName>
    <definedName name="하발보">[21]대리점판정!#REF!</definedName>
    <definedName name="하발보1">[21]대리점판정!#REF!</definedName>
    <definedName name="하부EP" localSheetId="0">[5]!표62[하부EP]</definedName>
    <definedName name="하부EP">[5]!표62[하부EP]</definedName>
    <definedName name="하부걸레받이" localSheetId="0">[5]!표55[하부걸레받이]</definedName>
    <definedName name="하부걸레받이">[5]!표55[하부걸레받이]</definedName>
    <definedName name="하부일반장" localSheetId="0">[5]!표34[하부일반장]</definedName>
    <definedName name="하부일반장">[5]!표34[하부일반장]</definedName>
    <definedName name="하부장" localSheetId="0">[5]!표8[하부장]</definedName>
    <definedName name="하부장">[5]!표8[하부장]</definedName>
    <definedName name="하부휠라" localSheetId="0">[5]!표53[하부휠라]</definedName>
    <definedName name="하부휠라">[5]!표53[하부휠라]</definedName>
    <definedName name="한샘">#REF!</definedName>
    <definedName name="한샘_bun">#REF!</definedName>
    <definedName name="홍길ㄷ동">#REF!</definedName>
    <definedName name="후드" localSheetId="0">[5]!표93[후드]</definedName>
    <definedName name="후드">[5]!표93[후드]</definedName>
    <definedName name="휠라" localSheetId="0">[5]!표14[휠라]</definedName>
    <definedName name="휠라">[5]!표14[휠라]</definedName>
    <definedName name="흠">#REF!</definedName>
    <definedName name="ㅏㄴ">#REF!</definedName>
    <definedName name="ㅏㅏㅏ">#REF!</definedName>
    <definedName name="ㅏㅏㅏㅓㅏㅏ">#REF!</definedName>
    <definedName name="ㅗㅓ">#REF!</definedName>
    <definedName name="ㅗㅗ">#REF!</definedName>
    <definedName name="ㅠㅠㅠㅠㅠㅠㅠㅠㅠㅠ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9" l="1"/>
  <c r="W35" i="19" l="1"/>
  <c r="W36" i="19" s="1"/>
  <c r="Q35" i="19"/>
  <c r="Q36" i="19" s="1"/>
  <c r="K35" i="19"/>
  <c r="K36" i="19" s="1"/>
  <c r="E35" i="19"/>
  <c r="E36" i="19" s="1"/>
  <c r="X28" i="19"/>
  <c r="X27" i="19"/>
  <c r="X26" i="19"/>
  <c r="X25" i="19"/>
  <c r="E5" i="19"/>
  <c r="X29" i="19" l="1"/>
  <c r="X42" i="19" s="1"/>
  <c r="X46" i="19" s="1"/>
  <c r="X47" i="19" s="1"/>
  <c r="I10" i="19" s="1"/>
</calcChain>
</file>

<file path=xl/sharedStrings.xml><?xml version="1.0" encoding="utf-8"?>
<sst xmlns="http://schemas.openxmlformats.org/spreadsheetml/2006/main" count="118" uniqueCount="80">
  <si>
    <t>수량</t>
    <phoneticPr fontId="2" type="noConversion"/>
  </si>
  <si>
    <t>목대</t>
    <phoneticPr fontId="2" type="noConversion"/>
  </si>
  <si>
    <t>도어</t>
    <phoneticPr fontId="2" type="noConversion"/>
  </si>
  <si>
    <t>시공비</t>
    <phoneticPr fontId="2" type="noConversion"/>
  </si>
  <si>
    <t>쿡탑</t>
    <phoneticPr fontId="2" type="noConversion"/>
  </si>
  <si>
    <t>수전</t>
    <phoneticPr fontId="2" type="noConversion"/>
  </si>
  <si>
    <t>후드</t>
    <phoneticPr fontId="2" type="noConversion"/>
  </si>
  <si>
    <t>싱크볼</t>
    <phoneticPr fontId="2" type="noConversion"/>
  </si>
  <si>
    <t xml:space="preserve">                 KCC글라스 HomeCC 주방가구 견적서</t>
    <phoneticPr fontId="2" type="noConversion"/>
  </si>
  <si>
    <t>기본 정보</t>
    <phoneticPr fontId="2" type="noConversion"/>
  </si>
  <si>
    <t>견적번호</t>
    <phoneticPr fontId="2" type="noConversion"/>
  </si>
  <si>
    <t>Line_up</t>
    <phoneticPr fontId="2" type="noConversion"/>
  </si>
  <si>
    <t>H-Line</t>
  </si>
  <si>
    <t>영업소</t>
    <phoneticPr fontId="2" type="noConversion"/>
  </si>
  <si>
    <t>순번입력</t>
    <phoneticPr fontId="2" type="noConversion"/>
  </si>
  <si>
    <t>파트너명</t>
    <phoneticPr fontId="2" type="noConversion"/>
  </si>
  <si>
    <t>파트너연락처</t>
    <phoneticPr fontId="2" type="noConversion"/>
  </si>
  <si>
    <t>영업소 담당</t>
    <phoneticPr fontId="2" type="noConversion"/>
  </si>
  <si>
    <t>설계/견적담당</t>
    <phoneticPr fontId="2" type="noConversion"/>
  </si>
  <si>
    <t>현장주소</t>
    <phoneticPr fontId="2" type="noConversion"/>
  </si>
  <si>
    <t>연락처</t>
    <phoneticPr fontId="2" type="noConversion"/>
  </si>
  <si>
    <t>견적작성일</t>
    <phoneticPr fontId="2" type="noConversion"/>
  </si>
  <si>
    <t>견적유효기간</t>
    <phoneticPr fontId="2" type="noConversion"/>
  </si>
  <si>
    <t>견적일로부터 1개월</t>
    <phoneticPr fontId="2" type="noConversion"/>
  </si>
  <si>
    <t>시공예정일</t>
  </si>
  <si>
    <t>거주여부</t>
    <phoneticPr fontId="2" type="noConversion"/>
  </si>
  <si>
    <t>X</t>
  </si>
  <si>
    <t>현장유형</t>
    <phoneticPr fontId="2" type="noConversion"/>
  </si>
  <si>
    <t>ATP</t>
  </si>
  <si>
    <t>E/V</t>
  </si>
  <si>
    <t>○</t>
  </si>
  <si>
    <t>사다리차</t>
    <phoneticPr fontId="2" type="noConversion"/>
  </si>
  <si>
    <t>철거여부</t>
    <phoneticPr fontId="2" type="noConversion"/>
  </si>
  <si>
    <t>금액 총계</t>
    <phoneticPr fontId="2" type="noConversion"/>
  </si>
  <si>
    <t>견적 내역</t>
    <phoneticPr fontId="2" type="noConversion"/>
  </si>
  <si>
    <t>단위 : 원(VAT 별도)</t>
    <phoneticPr fontId="2" type="noConversion"/>
  </si>
  <si>
    <t>구분</t>
    <phoneticPr fontId="2" type="noConversion"/>
  </si>
  <si>
    <t>사이즈</t>
    <phoneticPr fontId="2" type="noConversion"/>
  </si>
  <si>
    <t>단위</t>
    <phoneticPr fontId="2" type="noConversion"/>
  </si>
  <si>
    <t>공급가액</t>
    <phoneticPr fontId="2" type="noConversion"/>
  </si>
  <si>
    <t>비고</t>
    <phoneticPr fontId="2" type="noConversion"/>
  </si>
  <si>
    <t>주방</t>
    <phoneticPr fontId="2" type="noConversion"/>
  </si>
  <si>
    <t>M</t>
    <phoneticPr fontId="2" type="noConversion"/>
  </si>
  <si>
    <t>(main)</t>
    <phoneticPr fontId="2" type="noConversion"/>
  </si>
  <si>
    <t>몸통</t>
    <phoneticPr fontId="2" type="noConversion"/>
  </si>
  <si>
    <t>상판</t>
    <phoneticPr fontId="2" type="noConversion"/>
  </si>
  <si>
    <t>기기/옵션</t>
    <phoneticPr fontId="2" type="noConversion"/>
  </si>
  <si>
    <t>미선택</t>
  </si>
  <si>
    <t>EA</t>
    <phoneticPr fontId="2" type="noConversion"/>
  </si>
  <si>
    <t>보조주방</t>
    <phoneticPr fontId="2" type="noConversion"/>
  </si>
  <si>
    <t>(Sub)</t>
    <phoneticPr fontId="2" type="noConversion"/>
  </si>
  <si>
    <t>국산MMA</t>
  </si>
  <si>
    <t>주방가구 소계</t>
    <phoneticPr fontId="2" type="noConversion"/>
  </si>
  <si>
    <t>붙박이장</t>
    <phoneticPr fontId="2" type="noConversion"/>
  </si>
  <si>
    <t>현관장</t>
    <phoneticPr fontId="2" type="noConversion"/>
  </si>
  <si>
    <t>기기/옵션
이미지 확인</t>
    <phoneticPr fontId="2" type="noConversion"/>
  </si>
  <si>
    <t>씽크볼</t>
    <phoneticPr fontId="2" type="noConversion"/>
  </si>
  <si>
    <t>견적
항목</t>
    <phoneticPr fontId="2" type="noConversion"/>
  </si>
  <si>
    <t>자재비</t>
    <phoneticPr fontId="2" type="noConversion"/>
  </si>
  <si>
    <t>합계 (VAT별도)</t>
    <phoneticPr fontId="2" type="noConversion"/>
  </si>
  <si>
    <t>VAT</t>
    <phoneticPr fontId="2" type="noConversion"/>
  </si>
  <si>
    <t>본 견적은 상담 기준으로 작성된 금액이며, 현장 실측 및 설계 변경에 따라 일부 조정될 수 있습니다. 본 견적서의 유효기간은 발행일로부터 30일입니다.</t>
    <phoneticPr fontId="2" type="noConversion"/>
  </si>
  <si>
    <t>최현지</t>
  </si>
  <si>
    <t>010-8098-6606</t>
    <phoneticPr fontId="2" type="noConversion"/>
  </si>
  <si>
    <t>진그레이</t>
  </si>
  <si>
    <t>EFS-SQSR780(K) 1.0t _</t>
    <phoneticPr fontId="2" type="noConversion"/>
  </si>
  <si>
    <t>HSH-BR600</t>
    <phoneticPr fontId="2" type="noConversion"/>
  </si>
  <si>
    <t>SB2-3000</t>
    <phoneticPr fontId="2" type="noConversion"/>
  </si>
  <si>
    <t>4월 중순</t>
    <phoneticPr fontId="2" type="noConversion"/>
  </si>
  <si>
    <t>미스티그레이</t>
    <phoneticPr fontId="2" type="noConversion"/>
  </si>
  <si>
    <t>크리스탈 12T</t>
    <phoneticPr fontId="2" type="noConversion"/>
  </si>
  <si>
    <t>경기남부</t>
  </si>
  <si>
    <t>티유</t>
    <phoneticPr fontId="2" type="noConversion"/>
  </si>
  <si>
    <t>김민성</t>
    <phoneticPr fontId="2" type="noConversion"/>
  </si>
  <si>
    <t>서울 금천구 은행나무로 12길 37, 3F</t>
    <phoneticPr fontId="2" type="noConversion"/>
  </si>
  <si>
    <t>EFIH_X3000 GY(인덕션)</t>
    <phoneticPr fontId="2" type="noConversion"/>
  </si>
  <si>
    <t>W1050</t>
    <phoneticPr fontId="2" type="noConversion"/>
  </si>
  <si>
    <t>타일 시공비(철거, 수도내림 포함)</t>
    <phoneticPr fontId="2" type="noConversion"/>
  </si>
  <si>
    <t>물류+양중</t>
    <phoneticPr fontId="2" type="noConversion"/>
  </si>
  <si>
    <t>제품명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</si>
</sst>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_);[Red]\(0\)"/>
    <numFmt numFmtId="177" formatCode="#,##0_ &quot;(부가세포함)&quot;"/>
    <numFmt numFmtId="178" formatCode="0.0_);[Red]\(0.0\)"/>
    <numFmt numFmtId="179" formatCode="0.00_);[Red]\(0.00\)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4"/>
      <color theme="1"/>
      <name val="Noto Sans KR Black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12"/>
      <color theme="1"/>
      <name val="Noto Sans KR"/>
      <family val="3"/>
      <charset val="129"/>
    </font>
    <font>
      <b/>
      <sz val="12"/>
      <color theme="1"/>
      <name val="Noto Sans KR Medium"/>
      <family val="3"/>
      <charset val="129"/>
    </font>
    <font>
      <sz val="12"/>
      <color theme="1"/>
      <name val="Noto Sans KR Medium"/>
      <family val="3"/>
      <charset val="129"/>
    </font>
    <font>
      <sz val="12"/>
      <color theme="1"/>
      <name val="휴먼둥근헤드라인"/>
      <family val="1"/>
      <charset val="129"/>
    </font>
    <font>
      <b/>
      <sz val="13"/>
      <color rgb="FF000000"/>
      <name val="Noto Sans KR Medium"/>
      <family val="3"/>
      <charset val="129"/>
    </font>
    <font>
      <sz val="11"/>
      <color theme="1"/>
      <name val="Noto Sans KR Medium"/>
      <family val="3"/>
      <charset val="129"/>
    </font>
    <font>
      <sz val="10"/>
      <color theme="1"/>
      <name val="Noto Sans KR Medium"/>
      <family val="3"/>
      <charset val="129"/>
    </font>
    <font>
      <b/>
      <sz val="13"/>
      <color theme="1"/>
      <name val="Noto Sans KR Medium"/>
      <family val="3"/>
      <charset val="129"/>
    </font>
    <font>
      <sz val="13"/>
      <color theme="1"/>
      <name val="Noto Sans KR Medium"/>
      <family val="3"/>
      <charset val="129"/>
    </font>
    <font>
      <sz val="11"/>
      <color theme="1"/>
      <name val="Noto Sans KR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8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hair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332">
    <xf numFmtId="0" fontId="0" fillId="0" borderId="0" xfId="0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1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3" fillId="0" borderId="0" xfId="0" applyFont="1" applyAlignment="1">
      <alignment horizontal="right"/>
    </xf>
    <xf numFmtId="0" fontId="9" fillId="0" borderId="55" xfId="0" applyFont="1" applyBorder="1" applyAlignment="1" applyProtection="1">
      <alignment horizontal="center" vertical="center"/>
      <protection locked="0"/>
    </xf>
    <xf numFmtId="0" fontId="9" fillId="0" borderId="56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>
      <alignment horizontal="left" vertical="center"/>
    </xf>
    <xf numFmtId="0" fontId="7" fillId="3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 applyProtection="1">
      <alignment horizontal="center" vertical="center"/>
      <protection hidden="1"/>
    </xf>
    <xf numFmtId="0" fontId="8" fillId="4" borderId="1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176" fontId="9" fillId="0" borderId="11" xfId="0" applyNumberFormat="1" applyFont="1" applyBorder="1" applyAlignment="1" applyProtection="1">
      <alignment horizontal="center" vertical="center"/>
      <protection locked="0"/>
    </xf>
    <xf numFmtId="176" fontId="9" fillId="0" borderId="12" xfId="0" applyNumberFormat="1" applyFont="1" applyBorder="1" applyAlignment="1" applyProtection="1">
      <alignment horizontal="center" vertical="center"/>
      <protection locked="0"/>
    </xf>
    <xf numFmtId="176" fontId="9" fillId="0" borderId="13" xfId="0" applyNumberFormat="1" applyFont="1" applyBorder="1" applyAlignment="1" applyProtection="1">
      <alignment horizontal="center" vertical="center"/>
      <protection locked="0"/>
    </xf>
    <xf numFmtId="0" fontId="8" fillId="4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9" fillId="0" borderId="11" xfId="0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9" fillId="0" borderId="10" xfId="0" applyFont="1" applyBorder="1" applyAlignment="1" applyProtection="1">
      <alignment horizontal="center" vertical="center"/>
      <protection locked="0"/>
    </xf>
    <xf numFmtId="0" fontId="9" fillId="0" borderId="14" xfId="0" applyFont="1" applyBorder="1" applyAlignment="1" applyProtection="1">
      <alignment horizontal="center" vertical="center"/>
      <protection locked="0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32" xfId="0" applyFont="1" applyBorder="1" applyAlignment="1" applyProtection="1">
      <alignment horizontal="center" vertical="center"/>
      <protection locked="0"/>
    </xf>
    <xf numFmtId="0" fontId="8" fillId="4" borderId="15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0" borderId="22" xfId="0" applyFont="1" applyBorder="1" applyAlignment="1" applyProtection="1">
      <alignment horizontal="center" vertical="center" wrapText="1"/>
      <protection locked="0"/>
    </xf>
    <xf numFmtId="0" fontId="8" fillId="0" borderId="23" xfId="0" applyFont="1" applyBorder="1" applyAlignment="1" applyProtection="1">
      <alignment horizontal="center" vertical="center" wrapText="1"/>
      <protection locked="0"/>
    </xf>
    <xf numFmtId="0" fontId="8" fillId="0" borderId="24" xfId="0" applyFont="1" applyBorder="1" applyAlignment="1" applyProtection="1">
      <alignment horizontal="center" vertical="center" wrapText="1"/>
      <protection locked="0"/>
    </xf>
    <xf numFmtId="0" fontId="8" fillId="4" borderId="22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0" fontId="9" fillId="0" borderId="22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center" vertical="center"/>
      <protection locked="0"/>
    </xf>
    <xf numFmtId="0" fontId="9" fillId="0" borderId="76" xfId="0" applyFont="1" applyBorder="1" applyAlignment="1" applyProtection="1">
      <alignment horizontal="center" vertical="center"/>
      <protection locked="0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176" fontId="9" fillId="0" borderId="16" xfId="0" applyNumberFormat="1" applyFont="1" applyBorder="1" applyAlignment="1" applyProtection="1">
      <alignment horizontal="center" vertical="center"/>
      <protection locked="0"/>
    </xf>
    <xf numFmtId="176" fontId="9" fillId="0" borderId="17" xfId="0" applyNumberFormat="1" applyFont="1" applyBorder="1" applyAlignment="1" applyProtection="1">
      <alignment horizontal="center" vertical="center"/>
      <protection locked="0"/>
    </xf>
    <xf numFmtId="176" fontId="9" fillId="0" borderId="18" xfId="0" applyNumberFormat="1" applyFont="1" applyBorder="1" applyAlignment="1" applyProtection="1">
      <alignment horizontal="center" vertical="center"/>
      <protection locked="0"/>
    </xf>
    <xf numFmtId="0" fontId="8" fillId="4" borderId="16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9" fillId="0" borderId="16" xfId="0" applyFont="1" applyBorder="1" applyAlignment="1" applyProtection="1">
      <alignment horizontal="center" vertical="center"/>
      <protection locked="0"/>
    </xf>
    <xf numFmtId="0" fontId="9" fillId="0" borderId="17" xfId="0" applyFont="1" applyBorder="1" applyAlignment="1" applyProtection="1">
      <alignment horizontal="center" vertical="center"/>
      <protection locked="0"/>
    </xf>
    <xf numFmtId="0" fontId="9" fillId="0" borderId="18" xfId="0" applyFont="1" applyBorder="1" applyAlignment="1" applyProtection="1">
      <alignment horizontal="center" vertical="center"/>
      <protection locked="0"/>
    </xf>
    <xf numFmtId="0" fontId="8" fillId="4" borderId="29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/>
    </xf>
    <xf numFmtId="14" fontId="10" fillId="0" borderId="29" xfId="0" applyNumberFormat="1" applyFont="1" applyBorder="1" applyAlignment="1" applyProtection="1">
      <alignment horizontal="center" vertical="center"/>
      <protection locked="0"/>
    </xf>
    <xf numFmtId="14" fontId="10" fillId="0" borderId="30" xfId="0" applyNumberFormat="1" applyFont="1" applyBorder="1" applyAlignment="1" applyProtection="1">
      <alignment horizontal="center" vertical="center"/>
      <protection locked="0"/>
    </xf>
    <xf numFmtId="14" fontId="10" fillId="0" borderId="31" xfId="0" applyNumberFormat="1" applyFont="1" applyBorder="1" applyAlignment="1" applyProtection="1">
      <alignment horizontal="center" vertical="center"/>
      <protection locked="0"/>
    </xf>
    <xf numFmtId="0" fontId="8" fillId="4" borderId="29" xfId="0" applyFont="1" applyFill="1" applyBorder="1" applyAlignment="1">
      <alignment horizontal="center" vertical="center" wrapText="1"/>
    </xf>
    <xf numFmtId="0" fontId="8" fillId="4" borderId="30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horizontal="center" vertical="center" wrapText="1"/>
    </xf>
    <xf numFmtId="0" fontId="10" fillId="0" borderId="29" xfId="0" applyFont="1" applyBorder="1" applyAlignment="1" applyProtection="1">
      <alignment horizontal="center" vertical="center"/>
      <protection locked="0"/>
    </xf>
    <xf numFmtId="0" fontId="10" fillId="0" borderId="30" xfId="0" applyFont="1" applyBorder="1" applyAlignment="1" applyProtection="1">
      <alignment horizontal="center" vertical="center"/>
      <protection locked="0"/>
    </xf>
    <xf numFmtId="0" fontId="10" fillId="0" borderId="31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10" fillId="0" borderId="33" xfId="0" applyFont="1" applyBorder="1" applyAlignment="1" applyProtection="1">
      <alignment horizontal="center" vertical="center"/>
      <protection locked="0"/>
    </xf>
    <xf numFmtId="0" fontId="8" fillId="4" borderId="28" xfId="0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 applyProtection="1">
      <alignment horizontal="center" vertical="center"/>
      <protection locked="0"/>
    </xf>
    <xf numFmtId="14" fontId="9" fillId="0" borderId="29" xfId="0" applyNumberFormat="1" applyFont="1" applyBorder="1" applyAlignment="1" applyProtection="1">
      <alignment horizontal="center" vertical="center"/>
      <protection locked="0"/>
    </xf>
    <xf numFmtId="14" fontId="9" fillId="0" borderId="30" xfId="0" applyNumberFormat="1" applyFont="1" applyBorder="1" applyAlignment="1" applyProtection="1">
      <alignment horizontal="center" vertical="center"/>
      <protection locked="0"/>
    </xf>
    <xf numFmtId="14" fontId="9" fillId="0" borderId="31" xfId="0" applyNumberFormat="1" applyFont="1" applyBorder="1" applyAlignment="1" applyProtection="1">
      <alignment horizontal="center" vertical="center"/>
      <protection locked="0"/>
    </xf>
    <xf numFmtId="0" fontId="8" fillId="4" borderId="34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177" fontId="11" fillId="2" borderId="36" xfId="0" applyNumberFormat="1" applyFont="1" applyFill="1" applyBorder="1" applyAlignment="1" applyProtection="1">
      <alignment horizontal="center" vertical="center" wrapText="1"/>
      <protection hidden="1"/>
    </xf>
    <xf numFmtId="177" fontId="11" fillId="2" borderId="37" xfId="0" applyNumberFormat="1" applyFont="1" applyFill="1" applyBorder="1" applyAlignment="1" applyProtection="1">
      <alignment horizontal="center" vertical="center" wrapText="1"/>
      <protection hidden="1"/>
    </xf>
    <xf numFmtId="177" fontId="11" fillId="2" borderId="38" xfId="0" applyNumberFormat="1" applyFont="1" applyFill="1" applyBorder="1" applyAlignment="1" applyProtection="1">
      <alignment horizontal="center" vertical="center" wrapText="1"/>
      <protection hidden="1"/>
    </xf>
    <xf numFmtId="0" fontId="8" fillId="4" borderId="36" xfId="0" applyFont="1" applyFill="1" applyBorder="1" applyAlignment="1">
      <alignment horizontal="center" vertical="center" wrapText="1"/>
    </xf>
    <xf numFmtId="0" fontId="8" fillId="4" borderId="37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10" fillId="0" borderId="39" xfId="0" applyFont="1" applyBorder="1" applyAlignment="1" applyProtection="1">
      <alignment horizontal="center" vertical="center"/>
      <protection locked="0"/>
    </xf>
    <xf numFmtId="0" fontId="10" fillId="0" borderId="40" xfId="0" applyFont="1" applyBorder="1" applyAlignment="1" applyProtection="1">
      <alignment horizontal="center" vertical="center"/>
      <protection locked="0"/>
    </xf>
    <xf numFmtId="0" fontId="8" fillId="4" borderId="41" xfId="0" applyFont="1" applyFill="1" applyBorder="1" applyAlignment="1">
      <alignment horizontal="center" vertical="center" shrinkToFit="1"/>
    </xf>
    <xf numFmtId="0" fontId="8" fillId="4" borderId="12" xfId="0" applyFont="1" applyFill="1" applyBorder="1" applyAlignment="1">
      <alignment horizontal="center" vertical="center" shrinkToFit="1"/>
    </xf>
    <xf numFmtId="0" fontId="8" fillId="4" borderId="13" xfId="0" applyFont="1" applyFill="1" applyBorder="1" applyAlignment="1">
      <alignment horizontal="center" vertical="center" shrinkToFit="1"/>
    </xf>
    <xf numFmtId="0" fontId="8" fillId="4" borderId="43" xfId="0" applyFont="1" applyFill="1" applyBorder="1" applyAlignment="1">
      <alignment horizontal="center" vertical="center" shrinkToFit="1"/>
    </xf>
    <xf numFmtId="0" fontId="8" fillId="4" borderId="23" xfId="0" applyFont="1" applyFill="1" applyBorder="1" applyAlignment="1">
      <alignment horizontal="center" vertical="center" shrinkToFit="1"/>
    </xf>
    <xf numFmtId="0" fontId="8" fillId="4" borderId="24" xfId="0" applyFont="1" applyFill="1" applyBorder="1" applyAlignment="1">
      <alignment horizontal="center" vertical="center" shrinkToFit="1"/>
    </xf>
    <xf numFmtId="0" fontId="8" fillId="4" borderId="11" xfId="0" applyFont="1" applyFill="1" applyBorder="1" applyAlignment="1">
      <alignment horizontal="center" vertical="center" shrinkToFit="1"/>
    </xf>
    <xf numFmtId="0" fontId="8" fillId="4" borderId="22" xfId="0" applyFont="1" applyFill="1" applyBorder="1" applyAlignment="1">
      <alignment horizontal="center" vertical="center" shrinkToFit="1"/>
    </xf>
    <xf numFmtId="0" fontId="8" fillId="4" borderId="42" xfId="0" applyFont="1" applyFill="1" applyBorder="1" applyAlignment="1">
      <alignment horizontal="center" vertical="center" shrinkToFit="1"/>
    </xf>
    <xf numFmtId="0" fontId="8" fillId="4" borderId="44" xfId="0" applyFont="1" applyFill="1" applyBorder="1" applyAlignment="1">
      <alignment horizontal="center" vertical="center" shrinkToFit="1"/>
    </xf>
    <xf numFmtId="0" fontId="9" fillId="0" borderId="45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19" xfId="0" applyFont="1" applyBorder="1" applyAlignment="1" applyProtection="1">
      <alignment horizontal="center" vertical="center"/>
      <protection locked="0"/>
    </xf>
    <xf numFmtId="0" fontId="9" fillId="0" borderId="20" xfId="0" applyFont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178" fontId="9" fillId="0" borderId="29" xfId="1" applyNumberFormat="1" applyFont="1" applyBorder="1" applyAlignment="1" applyProtection="1">
      <alignment horizontal="center" vertical="center"/>
      <protection locked="0"/>
    </xf>
    <xf numFmtId="178" fontId="9" fillId="0" borderId="30" xfId="1" applyNumberFormat="1" applyFont="1" applyBorder="1" applyAlignment="1" applyProtection="1">
      <alignment horizontal="center" vertical="center"/>
      <protection locked="0"/>
    </xf>
    <xf numFmtId="178" fontId="9" fillId="0" borderId="31" xfId="1" applyNumberFormat="1" applyFont="1" applyBorder="1" applyAlignment="1" applyProtection="1">
      <alignment horizontal="center" vertical="center"/>
      <protection locked="0"/>
    </xf>
    <xf numFmtId="178" fontId="9" fillId="0" borderId="49" xfId="1" applyNumberFormat="1" applyFont="1" applyBorder="1" applyAlignment="1" applyProtection="1">
      <alignment horizontal="center" vertical="center"/>
      <protection locked="0"/>
    </xf>
    <xf numFmtId="178" fontId="9" fillId="0" borderId="54" xfId="1" applyNumberFormat="1" applyFont="1" applyBorder="1" applyAlignment="1" applyProtection="1">
      <alignment horizontal="center" vertical="center"/>
      <protection locked="0"/>
    </xf>
    <xf numFmtId="178" fontId="9" fillId="0" borderId="50" xfId="1" applyNumberFormat="1" applyFont="1" applyBorder="1" applyAlignment="1" applyProtection="1">
      <alignment horizontal="center" vertical="center"/>
      <protection locked="0"/>
    </xf>
    <xf numFmtId="0" fontId="9" fillId="0" borderId="29" xfId="0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0" borderId="49" xfId="0" applyFont="1" applyBorder="1" applyAlignment="1" applyProtection="1">
      <alignment horizontal="center" vertical="center"/>
      <protection locked="0"/>
    </xf>
    <xf numFmtId="0" fontId="9" fillId="0" borderId="50" xfId="0" applyFont="1" applyBorder="1" applyAlignment="1" applyProtection="1">
      <alignment horizontal="center" vertical="center"/>
      <protection locked="0"/>
    </xf>
    <xf numFmtId="41" fontId="9" fillId="0" borderId="29" xfId="1" applyFont="1" applyBorder="1" applyAlignment="1" applyProtection="1">
      <alignment horizontal="center" vertical="center"/>
    </xf>
    <xf numFmtId="41" fontId="9" fillId="0" borderId="31" xfId="1" applyFont="1" applyBorder="1" applyAlignment="1" applyProtection="1">
      <alignment horizontal="center" vertical="center"/>
    </xf>
    <xf numFmtId="41" fontId="9" fillId="0" borderId="49" xfId="1" applyFont="1" applyBorder="1" applyAlignment="1" applyProtection="1">
      <alignment horizontal="center" vertical="center"/>
    </xf>
    <xf numFmtId="41" fontId="9" fillId="0" borderId="50" xfId="1" applyFont="1" applyBorder="1" applyAlignment="1" applyProtection="1">
      <alignment horizontal="center" vertical="center"/>
    </xf>
    <xf numFmtId="41" fontId="9" fillId="0" borderId="29" xfId="1" applyFont="1" applyBorder="1" applyAlignment="1" applyProtection="1">
      <alignment horizontal="center" vertical="center"/>
      <protection locked="0"/>
    </xf>
    <xf numFmtId="41" fontId="9" fillId="0" borderId="30" xfId="1" applyFont="1" applyBorder="1" applyAlignment="1" applyProtection="1">
      <alignment horizontal="center" vertical="center"/>
      <protection locked="0"/>
    </xf>
    <xf numFmtId="41" fontId="9" fillId="0" borderId="31" xfId="1" applyFont="1" applyBorder="1" applyAlignment="1" applyProtection="1">
      <alignment horizontal="center" vertical="center"/>
      <protection locked="0"/>
    </xf>
    <xf numFmtId="41" fontId="9" fillId="0" borderId="49" xfId="1" applyFont="1" applyBorder="1" applyAlignment="1" applyProtection="1">
      <alignment horizontal="center" vertical="center"/>
      <protection locked="0"/>
    </xf>
    <xf numFmtId="41" fontId="9" fillId="0" borderId="54" xfId="1" applyFont="1" applyBorder="1" applyAlignment="1" applyProtection="1">
      <alignment horizontal="center" vertical="center"/>
      <protection locked="0"/>
    </xf>
    <xf numFmtId="41" fontId="9" fillId="0" borderId="50" xfId="1" applyFont="1" applyBorder="1" applyAlignment="1" applyProtection="1">
      <alignment horizontal="center" vertical="center"/>
      <protection locked="0"/>
    </xf>
    <xf numFmtId="0" fontId="9" fillId="0" borderId="46" xfId="0" applyFont="1" applyBorder="1" applyAlignment="1" applyProtection="1">
      <alignment horizontal="center" vertical="center"/>
      <protection locked="0"/>
    </xf>
    <xf numFmtId="0" fontId="9" fillId="0" borderId="55" xfId="0" applyFont="1" applyBorder="1" applyAlignment="1" applyProtection="1">
      <alignment horizontal="center" vertical="center"/>
      <protection locked="0"/>
    </xf>
    <xf numFmtId="0" fontId="9" fillId="0" borderId="56" xfId="0" applyFont="1" applyBorder="1" applyAlignment="1" applyProtection="1">
      <alignment horizontal="center" vertical="center"/>
      <protection locked="0"/>
    </xf>
    <xf numFmtId="0" fontId="9" fillId="0" borderId="4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51" xfId="0" applyFont="1" applyBorder="1" applyAlignment="1" applyProtection="1">
      <alignment horizontal="center" vertical="center"/>
      <protection locked="0"/>
    </xf>
    <xf numFmtId="0" fontId="9" fillId="0" borderId="52" xfId="0" applyFont="1" applyBorder="1" applyAlignment="1" applyProtection="1">
      <alignment horizontal="center" vertical="center"/>
      <protection locked="0"/>
    </xf>
    <xf numFmtId="0" fontId="9" fillId="0" borderId="53" xfId="0" applyFont="1" applyBorder="1" applyAlignment="1" applyProtection="1">
      <alignment horizontal="center" vertical="center"/>
      <protection locked="0"/>
    </xf>
    <xf numFmtId="178" fontId="9" fillId="0" borderId="51" xfId="1" applyNumberFormat="1" applyFont="1" applyBorder="1" applyAlignment="1" applyProtection="1">
      <alignment horizontal="center" vertical="center"/>
      <protection locked="0"/>
    </xf>
    <xf numFmtId="178" fontId="9" fillId="0" borderId="52" xfId="1" applyNumberFormat="1" applyFont="1" applyBorder="1" applyAlignment="1" applyProtection="1">
      <alignment horizontal="center" vertical="center"/>
      <protection locked="0"/>
    </xf>
    <xf numFmtId="178" fontId="9" fillId="0" borderId="53" xfId="1" applyNumberFormat="1" applyFont="1" applyBorder="1" applyAlignment="1" applyProtection="1">
      <alignment horizontal="center" vertical="center"/>
      <protection locked="0"/>
    </xf>
    <xf numFmtId="0" fontId="9" fillId="0" borderId="59" xfId="0" applyFont="1" applyBorder="1" applyAlignment="1" applyProtection="1">
      <alignment horizontal="center" vertical="center"/>
      <protection locked="0"/>
    </xf>
    <xf numFmtId="41" fontId="9" fillId="0" borderId="51" xfId="1" applyFont="1" applyBorder="1" applyAlignment="1" applyProtection="1">
      <alignment horizontal="center" vertical="center"/>
    </xf>
    <xf numFmtId="41" fontId="9" fillId="0" borderId="53" xfId="1" applyFont="1" applyBorder="1" applyAlignment="1" applyProtection="1">
      <alignment horizontal="center" vertical="center"/>
    </xf>
    <xf numFmtId="41" fontId="9" fillId="0" borderId="51" xfId="1" applyFont="1" applyBorder="1" applyAlignment="1" applyProtection="1">
      <alignment horizontal="center" vertical="center"/>
      <protection hidden="1"/>
    </xf>
    <xf numFmtId="41" fontId="9" fillId="0" borderId="52" xfId="1" applyFont="1" applyBorder="1" applyAlignment="1" applyProtection="1">
      <alignment horizontal="center" vertical="center"/>
      <protection hidden="1"/>
    </xf>
    <xf numFmtId="41" fontId="9" fillId="0" borderId="53" xfId="1" applyFont="1" applyBorder="1" applyAlignment="1" applyProtection="1">
      <alignment horizontal="center" vertical="center"/>
      <protection hidden="1"/>
    </xf>
    <xf numFmtId="41" fontId="9" fillId="0" borderId="51" xfId="1" applyFont="1" applyBorder="1" applyAlignment="1" applyProtection="1">
      <alignment horizontal="center" vertical="center"/>
      <protection locked="0"/>
    </xf>
    <xf numFmtId="41" fontId="9" fillId="0" borderId="52" xfId="1" applyFont="1" applyBorder="1" applyAlignment="1" applyProtection="1">
      <alignment horizontal="center" vertical="center"/>
      <protection locked="0"/>
    </xf>
    <xf numFmtId="41" fontId="9" fillId="0" borderId="53" xfId="1" applyFont="1" applyBorder="1" applyAlignment="1" applyProtection="1">
      <alignment horizontal="center" vertical="center"/>
      <protection locked="0"/>
    </xf>
    <xf numFmtId="0" fontId="9" fillId="0" borderId="4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 wrapText="1"/>
    </xf>
    <xf numFmtId="0" fontId="9" fillId="0" borderId="58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41" fontId="9" fillId="0" borderId="25" xfId="0" applyNumberFormat="1" applyFont="1" applyBorder="1" applyAlignment="1" applyProtection="1">
      <alignment horizontal="center" vertical="center"/>
      <protection locked="0"/>
    </xf>
    <xf numFmtId="0" fontId="9" fillId="0" borderId="26" xfId="0" applyFont="1" applyBorder="1" applyAlignment="1" applyProtection="1">
      <alignment horizontal="center" vertical="center"/>
      <protection locked="0"/>
    </xf>
    <xf numFmtId="0" fontId="9" fillId="0" borderId="27" xfId="0" applyFont="1" applyBorder="1" applyAlignment="1" applyProtection="1">
      <alignment horizontal="center" vertical="center"/>
      <protection locked="0"/>
    </xf>
    <xf numFmtId="178" fontId="9" fillId="0" borderId="25" xfId="1" applyNumberFormat="1" applyFont="1" applyBorder="1" applyAlignment="1" applyProtection="1">
      <alignment horizontal="center" vertical="center"/>
      <protection locked="0"/>
    </xf>
    <xf numFmtId="178" fontId="9" fillId="0" borderId="26" xfId="1" applyNumberFormat="1" applyFont="1" applyBorder="1" applyAlignment="1" applyProtection="1">
      <alignment horizontal="center" vertical="center"/>
      <protection locked="0"/>
    </xf>
    <xf numFmtId="178" fontId="9" fillId="0" borderId="27" xfId="1" applyNumberFormat="1" applyFont="1" applyBorder="1" applyAlignment="1" applyProtection="1">
      <alignment horizontal="center" vertical="center"/>
      <protection locked="0"/>
    </xf>
    <xf numFmtId="178" fontId="9" fillId="0" borderId="51" xfId="0" applyNumberFormat="1" applyFont="1" applyBorder="1" applyAlignment="1" applyProtection="1">
      <alignment horizontal="center" vertical="center"/>
      <protection locked="0"/>
    </xf>
    <xf numFmtId="0" fontId="9" fillId="0" borderId="30" xfId="0" applyFont="1" applyBorder="1" applyAlignment="1" applyProtection="1">
      <alignment horizontal="center" vertical="center"/>
      <protection locked="0"/>
    </xf>
    <xf numFmtId="0" fontId="9" fillId="0" borderId="54" xfId="0" applyFont="1" applyBorder="1" applyAlignment="1" applyProtection="1">
      <alignment horizontal="center" vertical="center"/>
      <protection locked="0"/>
    </xf>
    <xf numFmtId="179" fontId="9" fillId="0" borderId="51" xfId="1" applyNumberFormat="1" applyFont="1" applyBorder="1" applyAlignment="1" applyProtection="1">
      <alignment horizontal="center" vertical="center"/>
      <protection locked="0"/>
    </xf>
    <xf numFmtId="179" fontId="9" fillId="0" borderId="52" xfId="1" applyNumberFormat="1" applyFont="1" applyBorder="1" applyAlignment="1" applyProtection="1">
      <alignment horizontal="center" vertical="center"/>
      <protection locked="0"/>
    </xf>
    <xf numFmtId="179" fontId="9" fillId="0" borderId="53" xfId="1" applyNumberFormat="1" applyFont="1" applyBorder="1" applyAlignment="1" applyProtection="1">
      <alignment horizontal="center" vertical="center"/>
      <protection locked="0"/>
    </xf>
    <xf numFmtId="0" fontId="9" fillId="0" borderId="57" xfId="0" applyFont="1" applyBorder="1" applyAlignment="1">
      <alignment horizontal="center" vertical="center"/>
    </xf>
    <xf numFmtId="0" fontId="9" fillId="0" borderId="77" xfId="0" applyFont="1" applyBorder="1" applyAlignment="1">
      <alignment horizontal="center" vertical="center"/>
    </xf>
    <xf numFmtId="41" fontId="9" fillId="0" borderId="57" xfId="0" applyNumberFormat="1" applyFont="1" applyBorder="1" applyAlignment="1" applyProtection="1">
      <alignment horizontal="center" vertical="center"/>
      <protection locked="0"/>
    </xf>
    <xf numFmtId="0" fontId="9" fillId="0" borderId="77" xfId="0" applyFont="1" applyBorder="1" applyAlignment="1" applyProtection="1">
      <alignment horizontal="center" vertical="center"/>
      <protection locked="0"/>
    </xf>
    <xf numFmtId="0" fontId="9" fillId="0" borderId="58" xfId="0" applyFont="1" applyBorder="1" applyAlignment="1" applyProtection="1">
      <alignment horizontal="center" vertical="center"/>
      <protection locked="0"/>
    </xf>
    <xf numFmtId="178" fontId="9" fillId="0" borderId="57" xfId="1" applyNumberFormat="1" applyFont="1" applyBorder="1" applyAlignment="1" applyProtection="1">
      <alignment horizontal="center" vertical="center"/>
      <protection locked="0"/>
    </xf>
    <xf numFmtId="178" fontId="9" fillId="0" borderId="77" xfId="1" applyNumberFormat="1" applyFont="1" applyBorder="1" applyAlignment="1" applyProtection="1">
      <alignment horizontal="center" vertical="center"/>
      <protection locked="0"/>
    </xf>
    <xf numFmtId="178" fontId="9" fillId="0" borderId="58" xfId="1" applyNumberFormat="1" applyFont="1" applyBorder="1" applyAlignment="1" applyProtection="1">
      <alignment horizontal="center" vertical="center"/>
      <protection locked="0"/>
    </xf>
    <xf numFmtId="0" fontId="9" fillId="0" borderId="78" xfId="0" applyFont="1" applyBorder="1" applyAlignment="1" applyProtection="1">
      <alignment horizontal="center" vertical="center"/>
      <protection locked="0"/>
    </xf>
    <xf numFmtId="41" fontId="9" fillId="0" borderId="57" xfId="1" applyFont="1" applyBorder="1" applyAlignment="1" applyProtection="1">
      <alignment horizontal="center" vertical="center"/>
    </xf>
    <xf numFmtId="41" fontId="9" fillId="0" borderId="58" xfId="1" applyFont="1" applyBorder="1" applyAlignment="1" applyProtection="1">
      <alignment horizontal="center" vertical="center"/>
    </xf>
    <xf numFmtId="41" fontId="9" fillId="0" borderId="57" xfId="1" applyFont="1" applyBorder="1" applyAlignment="1" applyProtection="1">
      <alignment horizontal="center" vertical="center"/>
      <protection hidden="1"/>
    </xf>
    <xf numFmtId="41" fontId="9" fillId="0" borderId="77" xfId="1" applyFont="1" applyBorder="1" applyAlignment="1" applyProtection="1">
      <alignment horizontal="center" vertical="center"/>
      <protection hidden="1"/>
    </xf>
    <xf numFmtId="41" fontId="9" fillId="0" borderId="58" xfId="1" applyFont="1" applyBorder="1" applyAlignment="1" applyProtection="1">
      <alignment horizontal="center" vertical="center"/>
      <protection hidden="1"/>
    </xf>
    <xf numFmtId="41" fontId="9" fillId="0" borderId="55" xfId="1" applyFont="1" applyBorder="1" applyAlignment="1" applyProtection="1">
      <alignment horizontal="center" vertical="center"/>
      <protection locked="0"/>
    </xf>
    <xf numFmtId="41" fontId="9" fillId="0" borderId="0" xfId="1" applyFont="1" applyBorder="1" applyAlignment="1" applyProtection="1">
      <alignment horizontal="center" vertical="center"/>
      <protection locked="0"/>
    </xf>
    <xf numFmtId="41" fontId="9" fillId="0" borderId="48" xfId="1" applyFont="1" applyBorder="1" applyAlignment="1" applyProtection="1">
      <alignment horizontal="center" vertical="center"/>
      <protection locked="0"/>
    </xf>
    <xf numFmtId="41" fontId="9" fillId="0" borderId="22" xfId="1" applyFont="1" applyBorder="1" applyAlignment="1" applyProtection="1">
      <alignment horizontal="center" vertical="center"/>
      <protection locked="0"/>
    </xf>
    <xf numFmtId="41" fontId="9" fillId="0" borderId="23" xfId="1" applyFont="1" applyBorder="1" applyAlignment="1" applyProtection="1">
      <alignment horizontal="center" vertical="center"/>
      <protection locked="0"/>
    </xf>
    <xf numFmtId="41" fontId="9" fillId="0" borderId="24" xfId="1" applyFont="1" applyBorder="1" applyAlignment="1" applyProtection="1">
      <alignment horizontal="center" vertical="center"/>
      <protection locked="0"/>
    </xf>
    <xf numFmtId="0" fontId="9" fillId="0" borderId="80" xfId="0" applyFont="1" applyBorder="1" applyAlignment="1" applyProtection="1">
      <alignment horizontal="center" vertical="center"/>
      <protection locked="0"/>
    </xf>
    <xf numFmtId="0" fontId="9" fillId="0" borderId="6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25" xfId="0" applyFont="1" applyBorder="1" applyAlignment="1" applyProtection="1">
      <alignment horizontal="center" vertical="center"/>
      <protection hidden="1"/>
    </xf>
    <xf numFmtId="0" fontId="9" fillId="0" borderId="26" xfId="0" applyFont="1" applyBorder="1" applyAlignment="1" applyProtection="1">
      <alignment horizontal="center" vertical="center"/>
      <protection hidden="1"/>
    </xf>
    <xf numFmtId="0" fontId="9" fillId="0" borderId="27" xfId="0" applyFont="1" applyBorder="1" applyAlignment="1" applyProtection="1">
      <alignment horizontal="center" vertical="center"/>
      <protection hidden="1"/>
    </xf>
    <xf numFmtId="0" fontId="9" fillId="0" borderId="25" xfId="0" applyFont="1" applyBorder="1" applyAlignment="1" applyProtection="1">
      <alignment horizontal="center" vertical="center"/>
      <protection locked="0"/>
    </xf>
    <xf numFmtId="0" fontId="9" fillId="0" borderId="64" xfId="0" applyFont="1" applyBorder="1" applyAlignment="1" applyProtection="1">
      <alignment horizontal="center" vertical="center"/>
      <protection locked="0"/>
    </xf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9" fillId="0" borderId="81" xfId="0" applyFont="1" applyBorder="1" applyAlignment="1">
      <alignment horizontal="center" vertical="center"/>
    </xf>
    <xf numFmtId="41" fontId="9" fillId="0" borderId="82" xfId="1" applyFont="1" applyBorder="1" applyAlignment="1" applyProtection="1">
      <alignment horizontal="center" vertical="center"/>
    </xf>
    <xf numFmtId="41" fontId="9" fillId="0" borderId="68" xfId="1" applyFont="1" applyBorder="1" applyAlignment="1" applyProtection="1">
      <alignment horizontal="center" vertical="center"/>
    </xf>
    <xf numFmtId="41" fontId="9" fillId="0" borderId="81" xfId="1" applyFont="1" applyBorder="1" applyAlignment="1" applyProtection="1">
      <alignment horizontal="center" vertical="center"/>
    </xf>
    <xf numFmtId="0" fontId="9" fillId="0" borderId="82" xfId="0" applyFont="1" applyBorder="1" applyAlignment="1" applyProtection="1">
      <alignment horizontal="center" vertical="center"/>
      <protection locked="0"/>
    </xf>
    <xf numFmtId="0" fontId="9" fillId="0" borderId="69" xfId="0" applyFont="1" applyBorder="1" applyAlignment="1" applyProtection="1">
      <alignment horizontal="center" vertical="center"/>
      <protection locked="0"/>
    </xf>
    <xf numFmtId="0" fontId="9" fillId="0" borderId="79" xfId="0" applyFont="1" applyBorder="1" applyAlignment="1" applyProtection="1">
      <alignment horizontal="center" vertical="center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55" xfId="0" applyFont="1" applyBorder="1" applyAlignment="1" applyProtection="1">
      <alignment horizontal="center" vertical="center"/>
      <protection hidden="1"/>
    </xf>
    <xf numFmtId="0" fontId="9" fillId="0" borderId="48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24" xfId="0" applyFont="1" applyBorder="1" applyAlignment="1" applyProtection="1">
      <alignment horizontal="center" vertical="center"/>
      <protection hidden="1"/>
    </xf>
    <xf numFmtId="0" fontId="9" fillId="0" borderId="49" xfId="0" applyFont="1" applyBorder="1" applyAlignment="1" applyProtection="1">
      <alignment horizontal="center" vertical="center"/>
      <protection hidden="1"/>
    </xf>
    <xf numFmtId="0" fontId="9" fillId="0" borderId="54" xfId="0" applyFont="1" applyBorder="1" applyAlignment="1" applyProtection="1">
      <alignment horizontal="center" vertical="center"/>
      <protection hidden="1"/>
    </xf>
    <xf numFmtId="0" fontId="9" fillId="0" borderId="50" xfId="0" applyFont="1" applyBorder="1" applyAlignment="1" applyProtection="1">
      <alignment horizontal="center" vertical="center"/>
      <protection hidden="1"/>
    </xf>
    <xf numFmtId="178" fontId="9" fillId="0" borderId="55" xfId="1" applyNumberFormat="1" applyFont="1" applyBorder="1" applyAlignment="1" applyProtection="1">
      <alignment horizontal="center" vertical="center"/>
      <protection locked="0"/>
    </xf>
    <xf numFmtId="178" fontId="9" fillId="0" borderId="0" xfId="1" applyNumberFormat="1" applyFont="1" applyBorder="1" applyAlignment="1" applyProtection="1">
      <alignment horizontal="center" vertical="center"/>
      <protection locked="0"/>
    </xf>
    <xf numFmtId="178" fontId="9" fillId="0" borderId="48" xfId="1" applyNumberFormat="1" applyFont="1" applyBorder="1" applyAlignment="1" applyProtection="1">
      <alignment horizontal="center" vertical="center"/>
      <protection locked="0"/>
    </xf>
    <xf numFmtId="178" fontId="9" fillId="0" borderId="22" xfId="1" applyNumberFormat="1" applyFont="1" applyBorder="1" applyAlignment="1" applyProtection="1">
      <alignment horizontal="center" vertical="center"/>
      <protection locked="0"/>
    </xf>
    <xf numFmtId="178" fontId="9" fillId="0" borderId="23" xfId="1" applyNumberFormat="1" applyFont="1" applyBorder="1" applyAlignment="1" applyProtection="1">
      <alignment horizontal="center" vertical="center"/>
      <protection locked="0"/>
    </xf>
    <xf numFmtId="178" fontId="9" fillId="0" borderId="24" xfId="1" applyNumberFormat="1" applyFont="1" applyBorder="1" applyAlignment="1" applyProtection="1">
      <alignment horizontal="center" vertical="center"/>
      <protection locked="0"/>
    </xf>
    <xf numFmtId="0" fontId="9" fillId="0" borderId="48" xfId="0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0" fontId="9" fillId="0" borderId="6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9" xfId="0" applyFont="1" applyBorder="1" applyAlignment="1" applyProtection="1">
      <alignment horizontal="center" vertical="center"/>
      <protection hidden="1"/>
    </xf>
    <xf numFmtId="0" fontId="9" fillId="0" borderId="31" xfId="0" applyFont="1" applyBorder="1" applyAlignment="1" applyProtection="1">
      <alignment horizontal="center" vertical="center"/>
      <protection hidden="1"/>
    </xf>
    <xf numFmtId="0" fontId="9" fillId="0" borderId="65" xfId="0" applyFont="1" applyBorder="1" applyAlignment="1" applyProtection="1">
      <alignment horizontal="center" vertical="center"/>
      <protection hidden="1"/>
    </xf>
    <xf numFmtId="0" fontId="9" fillId="0" borderId="66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178" fontId="9" fillId="0" borderId="67" xfId="1" applyNumberFormat="1" applyFont="1" applyBorder="1" applyAlignment="1" applyProtection="1">
      <alignment horizontal="center" vertical="center"/>
      <protection hidden="1"/>
    </xf>
    <xf numFmtId="178" fontId="9" fillId="0" borderId="68" xfId="1" applyNumberFormat="1" applyFont="1" applyBorder="1" applyAlignment="1" applyProtection="1">
      <alignment horizontal="center" vertical="center"/>
      <protection hidden="1"/>
    </xf>
    <xf numFmtId="178" fontId="9" fillId="0" borderId="69" xfId="1" applyNumberFormat="1" applyFont="1" applyBorder="1" applyAlignment="1" applyProtection="1">
      <alignment horizontal="center" vertical="center"/>
      <protection hidden="1"/>
    </xf>
    <xf numFmtId="41" fontId="9" fillId="0" borderId="67" xfId="1" applyFont="1" applyBorder="1" applyAlignment="1" applyProtection="1">
      <alignment horizontal="center" vertical="center"/>
      <protection hidden="1"/>
    </xf>
    <xf numFmtId="41" fontId="9" fillId="0" borderId="68" xfId="1" applyFont="1" applyBorder="1" applyAlignment="1" applyProtection="1">
      <alignment horizontal="center" vertical="center"/>
      <protection hidden="1"/>
    </xf>
    <xf numFmtId="41" fontId="9" fillId="0" borderId="69" xfId="1" applyFont="1" applyBorder="1" applyAlignment="1" applyProtection="1">
      <alignment horizontal="center" vertical="center"/>
      <protection hidden="1"/>
    </xf>
    <xf numFmtId="0" fontId="9" fillId="0" borderId="4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9" fillId="0" borderId="7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71" xfId="0" applyFont="1" applyBorder="1" applyAlignment="1">
      <alignment horizontal="center" vertical="center"/>
    </xf>
    <xf numFmtId="0" fontId="14" fillId="3" borderId="73" xfId="0" applyFont="1" applyFill="1" applyBorder="1" applyAlignment="1" applyProtection="1">
      <alignment horizontal="center" vertical="center"/>
      <protection hidden="1"/>
    </xf>
    <xf numFmtId="0" fontId="14" fillId="3" borderId="35" xfId="0" applyFont="1" applyFill="1" applyBorder="1" applyAlignment="1" applyProtection="1">
      <alignment horizontal="center" vertical="center"/>
      <protection hidden="1"/>
    </xf>
    <xf numFmtId="0" fontId="14" fillId="3" borderId="74" xfId="0" applyFont="1" applyFill="1" applyBorder="1" applyAlignment="1" applyProtection="1">
      <alignment horizontal="center" vertical="center"/>
      <protection hidden="1"/>
    </xf>
    <xf numFmtId="41" fontId="14" fillId="3" borderId="73" xfId="1" applyFont="1" applyFill="1" applyBorder="1" applyAlignment="1" applyProtection="1">
      <alignment horizontal="center" vertical="center"/>
      <protection hidden="1"/>
    </xf>
    <xf numFmtId="41" fontId="14" fillId="3" borderId="35" xfId="1" applyFont="1" applyFill="1" applyBorder="1" applyAlignment="1" applyProtection="1">
      <alignment horizontal="center" vertical="center"/>
      <protection hidden="1"/>
    </xf>
    <xf numFmtId="41" fontId="14" fillId="3" borderId="74" xfId="1" applyFont="1" applyFill="1" applyBorder="1" applyAlignment="1" applyProtection="1">
      <alignment horizontal="center" vertical="center"/>
      <protection hidden="1"/>
    </xf>
    <xf numFmtId="0" fontId="15" fillId="3" borderId="73" xfId="0" applyFont="1" applyFill="1" applyBorder="1" applyAlignment="1" applyProtection="1">
      <alignment horizontal="center" vertical="center"/>
      <protection locked="0"/>
    </xf>
    <xf numFmtId="0" fontId="15" fillId="3" borderId="75" xfId="0" applyFont="1" applyFill="1" applyBorder="1" applyAlignment="1" applyProtection="1">
      <alignment horizontal="center" vertical="center"/>
      <protection locked="0"/>
    </xf>
    <xf numFmtId="0" fontId="9" fillId="0" borderId="62" xfId="0" applyFont="1" applyBorder="1" applyAlignment="1" applyProtection="1">
      <alignment horizontal="center" vertical="center"/>
      <protection locked="0"/>
    </xf>
    <xf numFmtId="0" fontId="8" fillId="0" borderId="51" xfId="0" applyFont="1" applyBorder="1" applyAlignment="1" applyProtection="1">
      <alignment horizontal="center" vertical="center"/>
      <protection hidden="1"/>
    </xf>
    <xf numFmtId="0" fontId="8" fillId="0" borderId="52" xfId="0" applyFont="1" applyBorder="1" applyAlignment="1" applyProtection="1">
      <alignment horizontal="center" vertical="center"/>
      <protection hidden="1"/>
    </xf>
    <xf numFmtId="0" fontId="8" fillId="0" borderId="53" xfId="0" applyFont="1" applyBorder="1" applyAlignment="1" applyProtection="1">
      <alignment horizontal="center" vertical="center"/>
      <protection hidden="1"/>
    </xf>
    <xf numFmtId="41" fontId="9" fillId="0" borderId="51" xfId="1" applyFont="1" applyFill="1" applyBorder="1" applyAlignment="1" applyProtection="1">
      <alignment horizontal="center" vertical="center"/>
      <protection locked="0"/>
    </xf>
    <xf numFmtId="41" fontId="9" fillId="0" borderId="52" xfId="1" applyFont="1" applyFill="1" applyBorder="1" applyAlignment="1" applyProtection="1">
      <alignment horizontal="center" vertical="center"/>
      <protection locked="0"/>
    </xf>
    <xf numFmtId="0" fontId="16" fillId="0" borderId="12" xfId="0" applyFont="1" applyBorder="1" applyAlignment="1">
      <alignment horizontal="left" vertical="center" wrapText="1" indent="2"/>
    </xf>
    <xf numFmtId="0" fontId="8" fillId="0" borderId="22" xfId="0" applyFont="1" applyBorder="1" applyAlignment="1" applyProtection="1">
      <alignment horizontal="center" vertical="center"/>
      <protection hidden="1"/>
    </xf>
    <xf numFmtId="0" fontId="8" fillId="0" borderId="23" xfId="0" applyFont="1" applyBorder="1" applyAlignment="1" applyProtection="1">
      <alignment horizontal="center" vertical="center"/>
      <protection hidden="1"/>
    </xf>
    <xf numFmtId="0" fontId="8" fillId="0" borderId="24" xfId="0" applyFont="1" applyBorder="1" applyAlignment="1" applyProtection="1">
      <alignment horizontal="center" vertical="center"/>
      <protection hidden="1"/>
    </xf>
    <xf numFmtId="41" fontId="9" fillId="0" borderId="22" xfId="1" applyFont="1" applyFill="1" applyBorder="1" applyAlignment="1" applyProtection="1">
      <alignment horizontal="center" vertical="center"/>
      <protection locked="0"/>
    </xf>
    <xf numFmtId="41" fontId="9" fillId="0" borderId="23" xfId="1" applyFont="1" applyFill="1" applyBorder="1" applyAlignment="1" applyProtection="1">
      <alignment horizontal="center" vertical="center"/>
      <protection locked="0"/>
    </xf>
    <xf numFmtId="41" fontId="9" fillId="0" borderId="24" xfId="1" applyFont="1" applyFill="1" applyBorder="1" applyAlignment="1" applyProtection="1">
      <alignment horizontal="center" vertical="center"/>
      <protection locked="0"/>
    </xf>
    <xf numFmtId="0" fontId="9" fillId="0" borderId="72" xfId="0" applyFont="1" applyBorder="1" applyAlignment="1" applyProtection="1">
      <alignment horizontal="center" vertical="center"/>
      <protection locked="0"/>
    </xf>
    <xf numFmtId="0" fontId="14" fillId="3" borderId="5" xfId="0" applyFont="1" applyFill="1" applyBorder="1" applyAlignment="1" applyProtection="1">
      <alignment horizontal="center" vertical="center"/>
      <protection hidden="1"/>
    </xf>
    <xf numFmtId="0" fontId="14" fillId="3" borderId="6" xfId="0" applyFont="1" applyFill="1" applyBorder="1" applyAlignment="1" applyProtection="1">
      <alignment horizontal="center" vertical="center"/>
      <protection hidden="1"/>
    </xf>
    <xf numFmtId="0" fontId="14" fillId="3" borderId="7" xfId="0" applyFont="1" applyFill="1" applyBorder="1" applyAlignment="1" applyProtection="1">
      <alignment horizontal="center" vertical="center"/>
      <protection hidden="1"/>
    </xf>
    <xf numFmtId="41" fontId="14" fillId="3" borderId="5" xfId="1" applyFont="1" applyFill="1" applyBorder="1" applyAlignment="1" applyProtection="1">
      <alignment horizontal="center" vertical="center"/>
      <protection hidden="1"/>
    </xf>
    <xf numFmtId="41" fontId="14" fillId="3" borderId="6" xfId="1" applyFont="1" applyFill="1" applyBorder="1" applyAlignment="1" applyProtection="1">
      <alignment horizontal="center" vertical="center"/>
      <protection hidden="1"/>
    </xf>
    <xf numFmtId="41" fontId="14" fillId="3" borderId="7" xfId="1" applyFont="1" applyFill="1" applyBorder="1" applyAlignment="1" applyProtection="1">
      <alignment horizontal="center" vertical="center"/>
      <protection hidden="1"/>
    </xf>
    <xf numFmtId="0" fontId="15" fillId="3" borderId="5" xfId="0" applyFont="1" applyFill="1" applyBorder="1" applyAlignment="1" applyProtection="1">
      <alignment horizontal="center" vertical="center"/>
      <protection locked="0"/>
    </xf>
    <xf numFmtId="0" fontId="15" fillId="3" borderId="60" xfId="0" applyFont="1" applyFill="1" applyBorder="1" applyAlignment="1" applyProtection="1">
      <alignment horizontal="center" vertical="center"/>
      <protection locked="0"/>
    </xf>
    <xf numFmtId="178" fontId="9" fillId="0" borderId="41" xfId="1" applyNumberFormat="1" applyFont="1" applyBorder="1" applyAlignment="1" applyProtection="1">
      <alignment horizontal="center" vertical="center"/>
    </xf>
    <xf numFmtId="178" fontId="9" fillId="0" borderId="12" xfId="1" applyNumberFormat="1" applyFont="1" applyBorder="1" applyAlignment="1" applyProtection="1">
      <alignment horizontal="center" vertical="center"/>
    </xf>
    <xf numFmtId="178" fontId="9" fillId="0" borderId="42" xfId="1" applyNumberFormat="1" applyFont="1" applyBorder="1" applyAlignment="1" applyProtection="1">
      <alignment horizontal="center" vertical="center"/>
    </xf>
    <xf numFmtId="178" fontId="9" fillId="0" borderId="47" xfId="1" applyNumberFormat="1" applyFont="1" applyBorder="1" applyAlignment="1" applyProtection="1">
      <alignment horizontal="center" vertical="center"/>
    </xf>
    <xf numFmtId="178" fontId="9" fillId="0" borderId="0" xfId="1" applyNumberFormat="1" applyFont="1" applyBorder="1" applyAlignment="1" applyProtection="1">
      <alignment horizontal="center" vertical="center"/>
    </xf>
    <xf numFmtId="178" fontId="9" fillId="0" borderId="56" xfId="1" applyNumberFormat="1" applyFont="1" applyBorder="1" applyAlignment="1" applyProtection="1">
      <alignment horizontal="center" vertical="center"/>
    </xf>
    <xf numFmtId="178" fontId="9" fillId="0" borderId="70" xfId="1" applyNumberFormat="1" applyFont="1" applyBorder="1" applyAlignment="1" applyProtection="1">
      <alignment horizontal="center" vertical="center"/>
    </xf>
    <xf numFmtId="178" fontId="9" fillId="0" borderId="8" xfId="1" applyNumberFormat="1" applyFont="1" applyBorder="1" applyAlignment="1" applyProtection="1">
      <alignment horizontal="center" vertical="center"/>
    </xf>
    <xf numFmtId="178" fontId="9" fillId="0" borderId="71" xfId="1" applyNumberFormat="1" applyFont="1" applyBorder="1" applyAlignment="1" applyProtection="1">
      <alignment horizontal="center" vertical="center"/>
    </xf>
    <xf numFmtId="41" fontId="9" fillId="0" borderId="41" xfId="1" applyFont="1" applyBorder="1" applyAlignment="1" applyProtection="1">
      <alignment horizontal="center" vertical="center"/>
    </xf>
    <xf numFmtId="41" fontId="9" fillId="0" borderId="12" xfId="1" applyFont="1" applyBorder="1" applyAlignment="1" applyProtection="1">
      <alignment horizontal="center" vertical="center"/>
    </xf>
    <xf numFmtId="41" fontId="9" fillId="0" borderId="42" xfId="1" applyFont="1" applyBorder="1" applyAlignment="1" applyProtection="1">
      <alignment horizontal="center" vertical="center"/>
    </xf>
    <xf numFmtId="41" fontId="9" fillId="0" borderId="47" xfId="1" applyFont="1" applyBorder="1" applyAlignment="1" applyProtection="1">
      <alignment horizontal="center" vertical="center"/>
    </xf>
    <xf numFmtId="41" fontId="9" fillId="0" borderId="0" xfId="1" applyFont="1" applyBorder="1" applyAlignment="1" applyProtection="1">
      <alignment horizontal="center" vertical="center"/>
    </xf>
    <xf numFmtId="41" fontId="9" fillId="0" borderId="56" xfId="1" applyFont="1" applyBorder="1" applyAlignment="1" applyProtection="1">
      <alignment horizontal="center" vertical="center"/>
    </xf>
    <xf numFmtId="41" fontId="9" fillId="0" borderId="70" xfId="1" applyFont="1" applyBorder="1" applyAlignment="1" applyProtection="1">
      <alignment horizontal="center" vertical="center"/>
    </xf>
    <xf numFmtId="41" fontId="9" fillId="0" borderId="8" xfId="1" applyFont="1" applyBorder="1" applyAlignment="1" applyProtection="1">
      <alignment horizontal="center" vertical="center"/>
    </xf>
    <xf numFmtId="41" fontId="9" fillId="0" borderId="71" xfId="1" applyFont="1" applyBorder="1" applyAlignment="1" applyProtection="1">
      <alignment horizontal="center" vertical="center"/>
    </xf>
    <xf numFmtId="0" fontId="8" fillId="0" borderId="41" xfId="0" applyFont="1" applyBorder="1" applyAlignment="1" applyProtection="1">
      <alignment horizontal="center" vertical="center" wrapText="1"/>
      <protection hidden="1"/>
    </xf>
    <xf numFmtId="0" fontId="8" fillId="0" borderId="12" xfId="0" applyFont="1" applyBorder="1" applyAlignment="1" applyProtection="1">
      <alignment horizontal="center" vertical="center" wrapText="1"/>
      <protection hidden="1"/>
    </xf>
    <xf numFmtId="0" fontId="8" fillId="0" borderId="13" xfId="0" applyFont="1" applyBorder="1" applyAlignment="1" applyProtection="1">
      <alignment horizontal="center" vertical="center" wrapText="1"/>
      <protection hidden="1"/>
    </xf>
    <xf numFmtId="0" fontId="8" fillId="0" borderId="47" xfId="0" applyFont="1" applyBorder="1" applyAlignment="1" applyProtection="1">
      <alignment horizontal="center" vertical="center" wrapText="1"/>
      <protection hidden="1"/>
    </xf>
    <xf numFmtId="0" fontId="8" fillId="0" borderId="0" xfId="0" applyFont="1" applyAlignment="1" applyProtection="1">
      <alignment horizontal="center" vertical="center" wrapText="1"/>
      <protection hidden="1"/>
    </xf>
    <xf numFmtId="0" fontId="8" fillId="0" borderId="48" xfId="0" applyFont="1" applyBorder="1" applyAlignment="1" applyProtection="1">
      <alignment horizontal="center" vertical="center" wrapText="1"/>
      <protection hidden="1"/>
    </xf>
    <xf numFmtId="0" fontId="8" fillId="0" borderId="70" xfId="0" applyFont="1" applyBorder="1" applyAlignment="1" applyProtection="1">
      <alignment horizontal="center" vertical="center" wrapText="1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8" fillId="0" borderId="66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horizontal="center" vertical="center"/>
      <protection hidden="1"/>
    </xf>
    <xf numFmtId="0" fontId="8" fillId="0" borderId="12" xfId="0" applyFont="1" applyBorder="1" applyAlignment="1" applyProtection="1">
      <alignment horizontal="center" vertical="center"/>
      <protection hidden="1"/>
    </xf>
    <xf numFmtId="0" fontId="8" fillId="0" borderId="13" xfId="0" applyFont="1" applyBorder="1" applyAlignment="1" applyProtection="1">
      <alignment horizontal="center" vertical="center"/>
      <protection hidden="1"/>
    </xf>
    <xf numFmtId="41" fontId="9" fillId="0" borderId="11" xfId="1" applyFont="1" applyFill="1" applyBorder="1" applyAlignment="1" applyProtection="1">
      <alignment horizontal="center" vertical="center"/>
    </xf>
    <xf numFmtId="41" fontId="9" fillId="0" borderId="12" xfId="1" applyFont="1" applyFill="1" applyBorder="1" applyAlignment="1" applyProtection="1">
      <alignment horizontal="center" vertical="center"/>
    </xf>
    <xf numFmtId="41" fontId="9" fillId="0" borderId="13" xfId="1" applyFont="1" applyFill="1" applyBorder="1" applyAlignment="1" applyProtection="1">
      <alignment horizontal="center" vertical="center"/>
    </xf>
    <xf numFmtId="0" fontId="9" fillId="0" borderId="42" xfId="0" applyFont="1" applyBorder="1" applyAlignment="1" applyProtection="1">
      <alignment horizontal="center" vertical="center"/>
      <protection locked="0"/>
    </xf>
    <xf numFmtId="0" fontId="9" fillId="0" borderId="41" xfId="0" applyFont="1" applyBorder="1" applyAlignment="1" applyProtection="1">
      <alignment horizontal="center" vertical="center" wrapText="1"/>
      <protection hidden="1"/>
    </xf>
    <xf numFmtId="0" fontId="9" fillId="0" borderId="12" xfId="0" applyFont="1" applyBorder="1" applyAlignment="1" applyProtection="1">
      <alignment horizontal="center" vertical="center"/>
      <protection hidden="1"/>
    </xf>
    <xf numFmtId="0" fontId="9" fillId="0" borderId="13" xfId="0" applyFont="1" applyBorder="1" applyAlignment="1" applyProtection="1">
      <alignment horizontal="center" vertical="center"/>
      <protection hidden="1"/>
    </xf>
    <xf numFmtId="0" fontId="9" fillId="0" borderId="47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70" xfId="0" applyFont="1" applyBorder="1" applyAlignment="1" applyProtection="1">
      <alignment horizontal="center" vertical="center"/>
      <protection hidden="1"/>
    </xf>
    <xf numFmtId="0" fontId="9" fillId="0" borderId="8" xfId="0" applyFont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center" vertical="center"/>
      <protection hidden="1"/>
    </xf>
    <xf numFmtId="178" fontId="9" fillId="0" borderId="11" xfId="1" applyNumberFormat="1" applyFont="1" applyBorder="1" applyAlignment="1" applyProtection="1">
      <alignment horizontal="center" vertical="center"/>
      <protection hidden="1"/>
    </xf>
    <xf numFmtId="178" fontId="9" fillId="0" borderId="12" xfId="1" applyNumberFormat="1" applyFont="1" applyBorder="1" applyAlignment="1" applyProtection="1">
      <alignment horizontal="center" vertical="center"/>
      <protection hidden="1"/>
    </xf>
    <xf numFmtId="178" fontId="9" fillId="0" borderId="13" xfId="1" applyNumberFormat="1" applyFont="1" applyBorder="1" applyAlignment="1" applyProtection="1">
      <alignment horizontal="center" vertical="center"/>
      <protection hidden="1"/>
    </xf>
    <xf numFmtId="41" fontId="9" fillId="0" borderId="11" xfId="1" applyFont="1" applyBorder="1" applyAlignment="1" applyProtection="1">
      <alignment horizontal="center" vertical="center"/>
      <protection hidden="1"/>
    </xf>
    <xf numFmtId="41" fontId="9" fillId="0" borderId="12" xfId="1" applyFont="1" applyBorder="1" applyAlignment="1" applyProtection="1">
      <alignment horizontal="center" vertical="center"/>
      <protection hidden="1"/>
    </xf>
    <xf numFmtId="41" fontId="9" fillId="0" borderId="42" xfId="1" applyFont="1" applyBorder="1" applyAlignment="1" applyProtection="1">
      <alignment horizontal="center" vertical="center"/>
      <protection hidden="1"/>
    </xf>
    <xf numFmtId="0" fontId="9" fillId="0" borderId="67" xfId="0" applyFont="1" applyBorder="1" applyAlignment="1" applyProtection="1">
      <alignment horizontal="center" vertical="center"/>
      <protection hidden="1"/>
    </xf>
    <xf numFmtId="0" fontId="9" fillId="0" borderId="68" xfId="0" applyFont="1" applyBorder="1" applyAlignment="1" applyProtection="1">
      <alignment horizontal="center" vertical="center"/>
      <protection hidden="1"/>
    </xf>
    <xf numFmtId="0" fontId="9" fillId="0" borderId="69" xfId="0" applyFont="1" applyBorder="1" applyAlignment="1" applyProtection="1">
      <alignment horizontal="center" vertical="center"/>
      <protection hidden="1"/>
    </xf>
  </cellXfs>
  <cellStyles count="3">
    <cellStyle name="쉼표 [0]" xfId="1" builtinId="6"/>
    <cellStyle name="표준" xfId="0" builtinId="0"/>
    <cellStyle name="표준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customXml" Target="../customXml/item1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0" Type="http://schemas.openxmlformats.org/officeDocument/2006/relationships/externalLink" Target="externalLinks/externalLink19.xml"/><Relationship Id="rId4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130969</xdr:colOff>
      <xdr:row>0</xdr:row>
      <xdr:rowOff>222543</xdr:rowOff>
    </xdr:from>
    <xdr:to>
      <xdr:col>29</xdr:col>
      <xdr:colOff>119063</xdr:colOff>
      <xdr:row>1</xdr:row>
      <xdr:rowOff>678658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885CBC8-5475-4B23-A0F9-9960A16DA4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6066" b="35993"/>
        <a:stretch>
          <a:fillRect/>
        </a:stretch>
      </xdr:blipFill>
      <xdr:spPr>
        <a:xfrm>
          <a:off x="8579644" y="222543"/>
          <a:ext cx="2655094" cy="741865"/>
        </a:xfrm>
        <a:prstGeom prst="rect">
          <a:avLst/>
        </a:prstGeom>
      </xdr:spPr>
    </xdr:pic>
    <xdr:clientData/>
  </xdr:twoCellAnchor>
  <xdr:oneCellAnchor>
    <xdr:from>
      <xdr:col>15</xdr:col>
      <xdr:colOff>321468</xdr:colOff>
      <xdr:row>1</xdr:row>
      <xdr:rowOff>666753</xdr:rowOff>
    </xdr:from>
    <xdr:ext cx="5131591" cy="43024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ABFC99E-21BE-445F-BB22-176CCA66D3C4}"/>
            </a:ext>
          </a:extLst>
        </xdr:cNvPr>
        <xdr:cNvSpPr txBox="1"/>
      </xdr:nvSpPr>
      <xdr:spPr>
        <a:xfrm>
          <a:off x="6084093" y="952503"/>
          <a:ext cx="5131591" cy="430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ko-KR" altLang="en-US" sz="1400" i="1">
              <a:solidFill>
                <a:schemeClr val="tx2"/>
              </a:solidFill>
              <a:latin typeface="Noto Sans KR Medium" panose="020B0200000000000000" pitchFamily="50" charset="-127"/>
              <a:ea typeface="Noto Sans KR Medium" panose="020B0200000000000000" pitchFamily="50" charset="-127"/>
            </a:rPr>
            <a:t>공간의 가치를 높이는 주방가구 솔루션             </a:t>
          </a:r>
          <a:r>
            <a:rPr lang="ko-KR" altLang="en-US" sz="1300">
              <a:latin typeface="Noto Sans KR Medium" panose="020B0200000000000000" pitchFamily="50" charset="-127"/>
              <a:ea typeface="Noto Sans KR Medium" panose="020B0200000000000000" pitchFamily="50" charset="-127"/>
              <a:cs typeface="ADLaM Display" panose="02010000000000000000" pitchFamily="2" charset="0"/>
            </a:rPr>
            <a:t>대표번호</a:t>
          </a:r>
          <a:r>
            <a:rPr lang="en-US" altLang="ko-KR" sz="1100">
              <a:latin typeface="Noto Sans KR Medium" panose="020B0200000000000000" pitchFamily="50" charset="-127"/>
              <a:ea typeface="Noto Sans KR Medium" panose="020B0200000000000000" pitchFamily="50" charset="-127"/>
              <a:cs typeface="ADLaM Display" panose="02010000000000000000" pitchFamily="2" charset="0"/>
            </a:rPr>
            <a:t>: </a:t>
          </a:r>
          <a:r>
            <a:rPr lang="en-US" altLang="ko-KR" sz="1400">
              <a:latin typeface="Noto Sans KR Medium" panose="020B0200000000000000" pitchFamily="50" charset="-127"/>
              <a:ea typeface="Noto Sans KR Medium" panose="020B0200000000000000" pitchFamily="50" charset="-127"/>
              <a:cs typeface="ADLaM Display" panose="02010000000000000000" pitchFamily="2" charset="0"/>
            </a:rPr>
            <a:t>1877-8204</a:t>
          </a:r>
          <a:endParaRPr lang="ko-KR" altLang="en-US" sz="1400">
            <a:latin typeface="Noto Sans KR Medium" panose="020B0200000000000000" pitchFamily="50" charset="-127"/>
            <a:ea typeface="Noto Sans KR Medium" panose="020B0200000000000000" pitchFamily="50" charset="-127"/>
            <a:cs typeface="ADLaM Display" panose="02010000000000000000" pitchFamily="2" charset="0"/>
          </a:endParaRPr>
        </a:p>
      </xdr:txBody>
    </xdr:sp>
    <xdr:clientData/>
  </xdr:oneCellAnchor>
  <xdr:twoCellAnchor editAs="oneCell">
    <xdr:from>
      <xdr:col>22</xdr:col>
      <xdr:colOff>71437</xdr:colOff>
      <xdr:row>35</xdr:row>
      <xdr:rowOff>190500</xdr:rowOff>
    </xdr:from>
    <xdr:to>
      <xdr:col>28</xdr:col>
      <xdr:colOff>333374</xdr:colOff>
      <xdr:row>40</xdr:row>
      <xdr:rowOff>238280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031CDF4-FF83-4273-A42C-1136493A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2968" y="12144375"/>
          <a:ext cx="2547937" cy="1655124"/>
        </a:xfrm>
        <a:prstGeom prst="rect">
          <a:avLst/>
        </a:prstGeom>
      </xdr:spPr>
    </xdr:pic>
    <xdr:clientData/>
  </xdr:twoCellAnchor>
  <xdr:twoCellAnchor editAs="oneCell">
    <xdr:from>
      <xdr:col>10</xdr:col>
      <xdr:colOff>59532</xdr:colOff>
      <xdr:row>35</xdr:row>
      <xdr:rowOff>59531</xdr:rowOff>
    </xdr:from>
    <xdr:to>
      <xdr:col>15</xdr:col>
      <xdr:colOff>321469</xdr:colOff>
      <xdr:row>40</xdr:row>
      <xdr:rowOff>285750</xdr:rowOff>
    </xdr:to>
    <xdr:pic>
      <xdr:nvPicPr>
        <xdr:cNvPr id="5" name="Picture 2" descr=" ">
          <a:extLst>
            <a:ext uri="{FF2B5EF4-FFF2-40B4-BE49-F238E27FC236}">
              <a16:creationId xmlns:a16="http://schemas.microsoft.com/office/drawing/2014/main" id="{51291678-6AFA-490B-BA0B-52CB0B84F9A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9063" y="12013406"/>
          <a:ext cx="2166937" cy="18335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35719</xdr:colOff>
      <xdr:row>35</xdr:row>
      <xdr:rowOff>47626</xdr:rowOff>
    </xdr:from>
    <xdr:to>
      <xdr:col>21</xdr:col>
      <xdr:colOff>333375</xdr:colOff>
      <xdr:row>40</xdr:row>
      <xdr:rowOff>285750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55AD6AD-EF4A-48B2-88B7-BEA8ED3F7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0" y="12001501"/>
          <a:ext cx="2202656" cy="1845468"/>
        </a:xfrm>
        <a:prstGeom prst="rect">
          <a:avLst/>
        </a:prstGeom>
      </xdr:spPr>
    </xdr:pic>
    <xdr:clientData/>
  </xdr:twoCellAnchor>
  <xdr:oneCellAnchor>
    <xdr:from>
      <xdr:col>4</xdr:col>
      <xdr:colOff>130969</xdr:colOff>
      <xdr:row>35</xdr:row>
      <xdr:rowOff>23813</xdr:rowOff>
    </xdr:from>
    <xdr:ext cx="2297906" cy="1862417"/>
    <xdr:pic>
      <xdr:nvPicPr>
        <xdr:cNvPr id="7" name="그림 6">
          <a:extLst>
            <a:ext uri="{FF2B5EF4-FFF2-40B4-BE49-F238E27FC236}">
              <a16:creationId xmlns:a16="http://schemas.microsoft.com/office/drawing/2014/main" id="{44F5A1C0-F63A-4E9B-9967-40AF6438C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4469" y="11977688"/>
          <a:ext cx="2297906" cy="186241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ffice.hanssem.com/temp/&#50896;&#44032;&#50836;&#49548;_12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064;&#52380;&#54952;&#4945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436;&#47448;&#54632;\&#50689;&#50629;&#44592;&#54925;\&#51473;&#51216;&#50629;&#47924;\&#49884;&#51109;&#51204;&#47581;\&#51088;&#46041;&#52264;\&#49688;&#51648;(0203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569;&#47749;&#49453;\&#51064;&#49324;\&#51312;&#51649;\&#51312;&#51649;&#46020;\98&#51312;&#51649;&#46020;\98BU&#50504;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park5190\Desktop\&#54856;&#50472;&#50472;%20&#48512;&#50636;%20&#44204;&#51201;&#49436;%20&#50577;&#49885;_.xlsx" TargetMode="External"/><Relationship Id="rId1" Type="http://schemas.openxmlformats.org/officeDocument/2006/relationships/externalLinkPath" Target="file:///C:\Users\shpark5190\Desktop\&#54856;&#50472;&#50472;%20&#48512;&#50636;%20&#44204;&#51201;&#49436;%20&#50577;&#49885;_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805&#54728;&#44032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49457;&#54364;\&#44552;&#44053;&#51228;&#54408;\&#44552;&#44053;&#51228;&#54408;\10&#44060;&#45380;\&#54868;&#51060;&#48148;&#48372;&#46300;\splan\stanley\&#44592;&#54925;&#50629;&#47924;\&#51204;&#47581;\&#51109;&#44592;&#51204;&#47581;\990310\&#50976;&#47532;&#47732;(990309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plan\stanley\&#44592;&#54925;&#50629;&#47924;\&#51204;&#47581;\&#51109;&#44592;&#51204;&#47581;\9905\RW&#51109;&#44592;(990510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49457;&#54364;\C&#44277;&#50976;\&#49436;&#47448;&#54632;\&#50689;&#50629;&#44592;&#54925;\&#51473;&#51216;&#50629;&#47924;\&#49884;&#51109;&#51204;&#47581;\&#51109;&#44592;&#51204;&#47581;(01&#45380;6&#50900;)\&#49436;&#47448;&#54632;\&#50689;&#50629;&#44592;&#54925;\&#51473;&#51216;&#50629;&#47924;\&#49884;&#51109;&#51204;&#47581;\&#51109;&#44592;&#51204;&#47581;(8&#50900;)\&#49688;&#51648;\&#49688;&#51648;(0203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ll%20Users\Documents\&#44053;&#46041;&#55148;&#51032;%20&#47928;&#49436;&#52285;&#44256;\11.PM%20&amp;%20ISO%20&amp;%20KS%20&#44288;&#47144;\KS\04Y%2011M%2008D%20&#54408;&#51656;&#51648;&#49884;&#49436;_&#44053;&#46041;&#5514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49457;&#54364;\C&#44277;&#50976;\&#49436;&#47448;&#54632;\&#50689;&#50629;&#44592;&#54925;\&#51473;&#51216;&#50629;&#47924;\&#49884;&#51109;&#51204;&#47581;\&#51109;&#44592;&#51204;&#47581;(01&#45380;6&#50900;)\&#49436;&#47448;&#54632;\&#50689;&#50629;&#44592;&#54925;\&#51473;&#51216;&#50629;&#47924;\&#49884;&#51109;&#51204;&#47581;\&#47532;&#54588;&#45768;&#49772;\&#47532;&#54588;&#45768;&#49772;&#52509;&#49884;&#51109;(0807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CCFC\01.&#48512;&#49436;&#50629;&#47924;\3.&#44144;&#47000;&#52376;%20&#51060;&#44288;\2019&#45380;%20&#44144;&#47000;&#52376;%20&#51060;&#44288;\2019-04&#50900;\10.&#44144;&#47000;&#52376;%20&#51060;&#44288;\2016&#45380;%20&#44144;&#47000;&#52376;%20&#51060;&#44288;\16.16-11&#50900;%20&#51060;&#44288;\16-12&#50900;)&#44144;&#47000;&#52376;%20&#51060;&#44288;%20LIST%20v2.xlsb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NGBANG\&#51109;&#44592;&#51204;&#47581;\splan\stanley\&#44592;&#54925;&#50629;&#47924;\&#51204;&#47581;\&#51109;&#44592;&#51204;&#47581;\990130\9805&#54728;&#44032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9436;&#47448;&#54632;\&#50689;&#50629;&#44592;&#54925;\&#51473;&#51216;&#50629;&#47924;\&#49884;&#51109;&#51204;&#47581;\&#51109;&#44592;&#51204;&#47581;(01&#45380;6&#50900;)\&#49436;&#47448;&#54632;\&#50689;&#50629;&#44592;&#54925;\&#51473;&#51216;&#50629;&#47924;\&#49884;&#51109;&#51204;&#47581;\&#47532;&#54588;&#45768;&#49772;\&#47532;&#54588;&#45768;&#49772;&#52509;&#49884;&#51109;(0807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name\&#48148;&#53461;%20&#54868;&#47732;\&#46020;&#47308;2008&#45380;%20&#44228;&#54925;&#44160;&#53664;(4&#44284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5&#45380;%20&#49373;&#44592;&#50672;%20MP%20&#44288;&#47144;\04Y%2011M%2008D%20&#54408;&#51656;&#51648;&#49884;&#49436;_&#44053;&#46041;&#55148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3Y%20&#49444;&#48708;&#51060;&#47141;&#52852;&#46300;\04Y%2010M%2001D%20&#49444;&#48708;&#51060;&#47141;&#52852;&#46300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49;&#51456;&#44508;&#45824;&#47532;\KCC\HOMECC\&#49345;&#54408;&#44592;&#54925;\&#44144;&#47000;&#52376;\&#50629;&#52404;&#49569;&#48512;&#50577;&#49885;(070411)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ccglass01-my.sharepoint.com/personal/hjchoi6136_homecc_com/Documents/KCG/KCG/1.%20&#51452;&#48169;/&#48512;&#50636;%20&#51088;&#47308;/&#54856;&#50472;&#50472;%20&#51452;&#48169;&#44032;&#44396;%20&#44204;&#51201;&#49436;%20&#54364;&#51456;&#50577;&#49885;_v3.xlsx" TargetMode="External"/><Relationship Id="rId1" Type="http://schemas.openxmlformats.org/officeDocument/2006/relationships/externalLinkPath" Target="https://kccglass01-my.sharepoint.com/personal/hjchoi6136_homecc_com/Documents/KCG/KCG/1.%20&#51452;&#48169;/&#48512;&#50636;%20&#51088;&#47308;/&#54856;&#50472;&#50472;%20&#51452;&#48169;&#44032;&#44396;%20&#44204;&#51201;&#49436;%20&#54364;&#51456;&#50577;&#49885;_v3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ffice.hanssem.com/TEMP/&#53945;&#54032;04&#45380;&#54032;&#44032;&#51116;&#48516;&#48176;&#51088;&#47308;_&#51452;&#44036;&#48324;(&#51088;&#47308;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anssem/mail/19990878.nsf/38d46bf5e8f08834852564b500129b2c/d5689bc7a945e08449256ca2001ef380/$FILE/6&#50900;&#54408;&#51656;&#51068;&#48372;(&#51333;&#54633;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4053;&#46041;&#55148;&#51032;%20&#47928;&#49436;&#52285;&#44256;\11.PM%20&amp;%20ISO%20&amp;%20KS%20&#44288;&#47144;\KS\04Y%2011M%2008D%20&#54408;&#51656;&#51648;&#49884;&#49436;_&#44053;&#46041;&#5514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anssem/WINDOWS/TEMP/My%20Documents/5&#50900;&#50526;&#51109;&#54644;&#54588;&#5308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ffice.hanssem.com/mail/19950537.nsf/($Inbox)/D516C41424D98FEE49256F040016D5D4/$FILE/8&#50900;&#53945;&#54032;&#47588;&#52636;&#50896;&#44032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49457;&#54364;\&#44552;&#44053;&#51228;&#54408;\&#44552;&#44053;\&#54868;&#51060;&#48260;%20&#48372;&#46300;(O)\&#50896;\&#44221;&#44592;&#51204;&#47581;\9805&#54728;&#44032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333;&#45224;\c\Documents%20and%20Settings\saupso\&#48148;&#53461;%20&#54868;&#47732;\&#53945;&#54032;04&#45380;&#54032;&#44032;&#51116;&#48516;&#48176;&#51088;&#47308;_&#51452;&#44036;&#48324;(&#51088;&#47308;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green\LOCALS~1\Temp\0311&#49892;&#46976;&#53944;&#51204;&#47928;&#51216;&#54788;&#54889;(1217DATA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gram%20Files\DocBridge\Documents\DBIF(401008c6-6e92-11e3-9375-bd2440d06449_1_VIEW_14738)&#51204;&#44208;&#44508;&#51221;%20&#49324;&#54637;&#54364;(14.04.07&#44060;&#51221;)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1.06.&#47784;&#45768;&#53552;&#51088;&#47308;\WINDOWS\TEMP\My%20Documents\5&#50900;&#50526;&#51109;&#54644;&#54588;&#53084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ffice.hanssem.com/kjy/&#49888;&#51228;&#54408;/&#44592;&#51456;&#51221;&#48372;/000%20&#49888;&#51228;&#54408;/2004&#45380;%20&#49888;&#51228;&#54408;/2004%20&#49888;&#51228;&#54408;_&#44592;&#51456;&#51221;&#48372;&#49373;&#49457;_&#49688;&#51221;&#48376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49457;&#54364;\C&#44277;&#50976;\DOCUME~1\GNU\LOCALS~1\Temp\NC1643E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40;&#48120;\&#44608;&#49440;&#48120;\WINDOWS\TEMP\windows\TEMP\&#48512;&#54408;&#48516;&#49437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Startup" Target="&#51312;&#51649;&#46020;&amp;&#51064;&#50896;/&#51312;&#51649;&#46020;/00&#45380;/&#48512;&#45800;&#50948;/&#51312;&#51649;&#46020;&amp;&#51064;&#50896;/&#51312;&#51649;&#46020;/99&#45380;/&#48512;&#45800;&#50948;/&#49569;&#47749;&#49453;/&#51064;&#49324;/&#51312;&#51649;/&#51312;&#51649;&#46020;/98&#51312;&#51649;&#46020;/98BU&#50504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49457;&#54364;\&#44552;&#44053;&#51228;&#54408;\&#44552;&#44053;&#51228;&#54408;\&#44148;&#52629;&#54728;&#44032;&#47732;&#51201;\&#48372;&#44256;&#51088;&#47308;\splan\stanley\&#44592;&#54925;&#50629;&#47924;\&#51204;&#47581;\&#51109;&#44592;&#51204;&#47581;\990310\&#50976;&#47532;&#47732;(990309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50689;&#50629;&#44592;&#54925;\&#44148;&#52629;&#54728;&#44032;&#47732;&#51201;\&#48372;&#44256;&#51088;&#47308;\&#52572;&#51333;&#50504;\2004&#45380;\splan\stanley\&#44592;&#54925;&#50629;&#47924;\&#51204;&#47581;\&#51109;&#44592;&#51204;&#47581;\990310\&#50976;&#47532;&#47732;(990309)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plan\stanley\&#44592;&#54925;&#50629;&#47924;\&#51204;&#47581;\&#51109;&#44592;&#51204;&#47581;\990130\9805&#54728;&#44032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9436;&#47448;&#54632;\&#50689;&#50629;&#44592;&#54925;\&#51473;&#51216;&#50629;&#47924;\&#49884;&#51109;&#51204;&#47581;\&#47532;&#54588;&#45768;&#49772;\&#47532;&#54588;&#45768;&#49772;&#52509;&#49884;&#51109;(0807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수"/>
      <sheetName val="Sheet3"/>
      <sheetName val="Sheet2"/>
      <sheetName val="Sheet1"/>
      <sheetName val="전체"/>
      <sheetName val="유휴설비리스트"/>
      <sheetName val="Sheet2 (2)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마감사양"/>
      <sheetName val="금융비용"/>
      <sheetName val="영역(지우지마시오)"/>
      <sheetName val="대리점판정"/>
      <sheetName val="영역"/>
      <sheetName val="금액내역서"/>
      <sheetName val="데이터"/>
      <sheetName val="Sheet2"/>
      <sheetName val="Sheet1"/>
      <sheetName val="Standard Comma"/>
      <sheetName val="결재"/>
      <sheetName val="1ST"/>
      <sheetName val="한물류"/>
      <sheetName val="Sheet3"/>
      <sheetName val="PBNB라벨스티커 기준정보"/>
      <sheetName val="Standard_Comma"/>
      <sheetName val="PBNB라벨스티커_기준정보"/>
      <sheetName val="Sheet4"/>
      <sheetName val="기타"/>
      <sheetName val="Standard_Comma1"/>
      <sheetName val="PBNB라벨스티커_기준정보1"/>
      <sheetName val="유효성"/>
      <sheetName val="Sheet6"/>
      <sheetName val="Standard_Comma2"/>
      <sheetName val="PBNB라벨스티커_기준정보2"/>
      <sheetName val="드롭다운-목록"/>
      <sheetName val="☆ PP점수계산기_검토용"/>
      <sheetName val="03월생산일보"/>
      <sheetName val="스크립트"/>
      <sheetName val="DATA"/>
      <sheetName val="원가 검토"/>
      <sheetName val="슬라이딩"/>
      <sheetName val="설비리스트"/>
      <sheetName val="산출근거"/>
      <sheetName val="비주거용"/>
      <sheetName val="채널"/>
      <sheetName val="18,19 매출(모델명)"/>
      <sheetName val="Sheet5"/>
      <sheetName val="타일사이즈"/>
      <sheetName val="조건식"/>
      <sheetName val="Sheet1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근거(내수)"/>
      <sheetName val="수지"/>
      <sheetName val="95년기준조정"/>
      <sheetName val="지표"/>
      <sheetName val="08이전 하자증권"/>
      <sheetName val="프랜트면허"/>
      <sheetName val="tvr320"/>
      <sheetName val="tvr360"/>
      <sheetName val="발행제기"/>
      <sheetName val="조선용암면"/>
      <sheetName val="산출근거"/>
      <sheetName val="기타수당"/>
      <sheetName val="연차수당"/>
      <sheetName val="GC산출"/>
      <sheetName val="건    재"/>
      <sheetName val="2.대외공문"/>
      <sheetName val="機器明細(MC)"/>
      <sheetName val="수지(0203)"/>
      <sheetName val="부재예실"/>
      <sheetName val="국가코드-관할지사(수정)"/>
      <sheetName val="#REF"/>
      <sheetName val="기초일위"/>
      <sheetName val="시설일위"/>
      <sheetName val="조명일위"/>
      <sheetName val="통계자료"/>
      <sheetName val="세부(종합)"/>
      <sheetName val="9811"/>
      <sheetName val="Front"/>
      <sheetName val="wall"/>
      <sheetName val="1"/>
      <sheetName val="배합비(99-05-25)"/>
      <sheetName val="개설수"/>
      <sheetName val="홈씨씨 기존 제상품 매출 거래선 LIST"/>
      <sheetName val="Sheet2"/>
      <sheetName val="집계표"/>
      <sheetName val="누계 내외장재 비율"/>
      <sheetName val="비주거용"/>
      <sheetName val="9907협력"/>
      <sheetName val="예산실적전체당월"/>
      <sheetName val="국가코드"/>
      <sheetName val="세무서코드(2004.4.1이후)"/>
      <sheetName val="LAB설비"/>
      <sheetName val="03년 손익"/>
      <sheetName val="건설성적"/>
      <sheetName val="Sheet4"/>
      <sheetName val="Finished Goods "/>
      <sheetName val="Dropdown 메뉴"/>
      <sheetName val="설계가"/>
      <sheetName val="5사남"/>
      <sheetName val="기성및원가"/>
      <sheetName val="원본"/>
      <sheetName val="표지"/>
      <sheetName val="1을"/>
      <sheetName val="재정"/>
      <sheetName val="TTT"/>
      <sheetName val="생산계획"/>
      <sheetName val="3.붙이기"/>
      <sheetName val="판매추정"/>
      <sheetName val="참고.반영율"/>
      <sheetName val="PATENT"/>
      <sheetName val="원재료비 UP-DATE"/>
      <sheetName val="Gia vat tu"/>
      <sheetName val="해외"/>
      <sheetName val="3.PT개발계획"/>
      <sheetName val="박두익"/>
      <sheetName val="생산일정"/>
      <sheetName val="년차수당"/>
      <sheetName val="존4"/>
      <sheetName val="MOTOR"/>
      <sheetName val="00실적"/>
      <sheetName val="Sheet1 (3)"/>
      <sheetName val="기준데이터"/>
      <sheetName val="200101"/>
      <sheetName val="설계명세서"/>
      <sheetName val="6월보고실적현황"/>
      <sheetName val="BASE"/>
      <sheetName val="Sheet1"/>
      <sheetName val="CODE"/>
      <sheetName val="2008 건재예산$100기준"/>
      <sheetName val="견적집계표"/>
      <sheetName val="이자율"/>
      <sheetName val="단가"/>
      <sheetName val="최종가공"/>
      <sheetName val="그래프1"/>
      <sheetName val="9월누계실적"/>
      <sheetName val="참조3"/>
      <sheetName val="참조3 (2)"/>
      <sheetName val="참조3 (3)"/>
      <sheetName val="과구분"/>
      <sheetName val="배합비(2,3.4분기)"/>
      <sheetName val="투자예산"/>
      <sheetName val="구분"/>
      <sheetName val="실행예산"/>
      <sheetName val="TOTAL"/>
      <sheetName val="Atomic Wt Data"/>
      <sheetName val="C11F"/>
      <sheetName val="계획08"/>
      <sheetName val="두께별"/>
      <sheetName val="사업소득자세수추계"/>
      <sheetName val="수리결과"/>
      <sheetName val="동해title"/>
      <sheetName val="기간부서"/>
      <sheetName val="철근집계표"/>
      <sheetName val="노임이"/>
      <sheetName val="법인세신고자료"/>
      <sheetName val="Total DFT Input"/>
      <sheetName val="Shadow"/>
      <sheetName val="Serial No."/>
      <sheetName val="97년 1월"/>
      <sheetName val="원료"/>
      <sheetName val="DATA"/>
      <sheetName val="참조셀삭제금지"/>
      <sheetName val="3. 링크자료"/>
    </sheetNames>
    <sheetDataSet>
      <sheetData sheetId="0">
        <row r="5">
          <cell r="J5">
            <v>49361.3</v>
          </cell>
        </row>
      </sheetData>
      <sheetData sheetId="1">
        <row r="5">
          <cell r="J5">
            <v>49361.3</v>
          </cell>
        </row>
      </sheetData>
      <sheetData sheetId="2">
        <row r="5">
          <cell r="J5">
            <v>49361.3</v>
          </cell>
          <cell r="K5">
            <v>18530</v>
          </cell>
          <cell r="L5">
            <v>100726.7</v>
          </cell>
          <cell r="S5">
            <v>2999</v>
          </cell>
        </row>
        <row r="6">
          <cell r="J6">
            <v>58402.8</v>
          </cell>
          <cell r="K6">
            <v>22119.7</v>
          </cell>
          <cell r="L6">
            <v>108219.2</v>
          </cell>
          <cell r="S6">
            <v>2963</v>
          </cell>
        </row>
        <row r="7">
          <cell r="J7">
            <v>65447.8</v>
          </cell>
          <cell r="K7">
            <v>24911.1</v>
          </cell>
          <cell r="L7">
            <v>117244.8</v>
          </cell>
          <cell r="S7">
            <v>3329</v>
          </cell>
        </row>
        <row r="8">
          <cell r="J8">
            <v>67745.399999999994</v>
          </cell>
          <cell r="K8">
            <v>28466.9</v>
          </cell>
          <cell r="L8">
            <v>129143.2</v>
          </cell>
          <cell r="S8">
            <v>4721</v>
          </cell>
        </row>
        <row r="9">
          <cell r="J9">
            <v>73982.5</v>
          </cell>
          <cell r="K9">
            <v>33493.4</v>
          </cell>
          <cell r="L9">
            <v>141618.29999999999</v>
          </cell>
          <cell r="S9">
            <v>4818</v>
          </cell>
        </row>
        <row r="10">
          <cell r="J10">
            <v>81033</v>
          </cell>
          <cell r="K10">
            <v>38451.599999999999</v>
          </cell>
          <cell r="L10">
            <v>153011.9</v>
          </cell>
          <cell r="S10">
            <v>4130</v>
          </cell>
        </row>
        <row r="11">
          <cell r="J11">
            <v>85315.9</v>
          </cell>
          <cell r="K11">
            <v>38331.800000000003</v>
          </cell>
          <cell r="L11">
            <v>161319.5</v>
          </cell>
          <cell r="S11">
            <v>4362</v>
          </cell>
        </row>
        <row r="12">
          <cell r="J12">
            <v>89900.5</v>
          </cell>
          <cell r="K12">
            <v>38439.9</v>
          </cell>
          <cell r="L12">
            <v>170559.2</v>
          </cell>
          <cell r="S12">
            <v>5526</v>
          </cell>
        </row>
        <row r="13">
          <cell r="J13">
            <v>99611.5</v>
          </cell>
          <cell r="K13">
            <v>47612</v>
          </cell>
          <cell r="L13">
            <v>184637.8</v>
          </cell>
          <cell r="S13">
            <v>6770</v>
          </cell>
        </row>
        <row r="14">
          <cell r="J14">
            <v>110826.9</v>
          </cell>
          <cell r="K14">
            <v>56241</v>
          </cell>
          <cell r="L14">
            <v>202573.5</v>
          </cell>
          <cell r="S14">
            <v>7034</v>
          </cell>
        </row>
        <row r="15">
          <cell r="J15">
            <v>118342.7</v>
          </cell>
          <cell r="K15">
            <v>61332.6</v>
          </cell>
          <cell r="L15">
            <v>216949.6</v>
          </cell>
          <cell r="S15">
            <v>7244</v>
          </cell>
        </row>
        <row r="16">
          <cell r="J16">
            <v>126117.2</v>
          </cell>
          <cell r="K16">
            <v>56009.8</v>
          </cell>
          <cell r="L16">
            <v>224536.5</v>
          </cell>
          <cell r="S16">
            <v>7509.7460000000001</v>
          </cell>
        </row>
        <row r="17">
          <cell r="J17">
            <v>117013.7</v>
          </cell>
          <cell r="K17">
            <v>34469.300000000003</v>
          </cell>
          <cell r="L17">
            <v>202553.3</v>
          </cell>
          <cell r="S17">
            <v>5318.5860000000002</v>
          </cell>
        </row>
        <row r="18">
          <cell r="J18">
            <v>130749.01860946578</v>
          </cell>
          <cell r="K18">
            <v>47291.8796</v>
          </cell>
          <cell r="L18">
            <v>221795.86349999998</v>
          </cell>
          <cell r="S18">
            <v>5992.3850000000002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약식조직"/>
      <sheetName val="부단위"/>
      <sheetName val="부단위(회장보고용)"/>
      <sheetName val="課단위"/>
      <sheetName val="課단위 (회장보고용)"/>
      <sheetName val="課단위 (회장보고용) -업무분장"/>
      <sheetName val="1"/>
      <sheetName val="제품원재"/>
      <sheetName val="건설성적"/>
      <sheetName val="98BU안"/>
      <sheetName val="부재예실1월"/>
      <sheetName val="예산실적전체당월"/>
      <sheetName val="GC산출"/>
      <sheetName val="#REF"/>
      <sheetName val="준검 내역서"/>
      <sheetName val="Sheet1"/>
      <sheetName val="산출근거"/>
      <sheetName val="부재예실"/>
      <sheetName val="시공여유율"/>
      <sheetName val="배합변경_1"/>
      <sheetName val="품질경영"/>
      <sheetName val="투자예산"/>
      <sheetName val="FG"/>
      <sheetName val="이자율"/>
      <sheetName val="비주거용"/>
      <sheetName val="결론"/>
      <sheetName val="機器明細(MC)"/>
      <sheetName val="00실적"/>
      <sheetName val="경성자금"/>
      <sheetName val="설계"/>
      <sheetName val="품셈TABLE"/>
      <sheetName val="일위대가목록"/>
      <sheetName val="3사인원"/>
      <sheetName val="실행예산"/>
      <sheetName val="생산판매재고"/>
      <sheetName val="예산입력(전)"/>
      <sheetName val="배합비(99-05-25)"/>
      <sheetName val="손료기준-공사부구두문의"/>
      <sheetName val="주별납기"/>
      <sheetName val="배합비(2,3.4분기)"/>
      <sheetName val="일년TOTAL"/>
      <sheetName val="지급자재"/>
      <sheetName val="판매일반"/>
      <sheetName val="초과사유"/>
      <sheetName val="월간"/>
      <sheetName val="두께별"/>
      <sheetName val="생산일정"/>
      <sheetName val="유동자산"/>
      <sheetName val="항목(1)"/>
      <sheetName val="표지"/>
      <sheetName val="건    재"/>
      <sheetName val="BAL"/>
      <sheetName val="Sheet4"/>
      <sheetName val="집계표(육상)"/>
      <sheetName val="수리결과"/>
      <sheetName val="제안서"/>
      <sheetName val="행정표준(1)"/>
      <sheetName val="행정표준(2)"/>
      <sheetName val="2003년 합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견적서_벤더 송부용 (세부 오더)"/>
      <sheetName val="버전1"/>
      <sheetName val="TEST"/>
      <sheetName val="Sheet3 (2)"/>
      <sheetName val="Sheet1 (2)"/>
      <sheetName val="Sheet1"/>
      <sheetName val="홈씨씨 부엌 견적서 양식_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허가면적(6.22)"/>
      <sheetName val="유형별 (6.22)"/>
      <sheetName val="유형별 (5.14)"/>
      <sheetName val="허가면적(5.18)"/>
      <sheetName val="허가면적(5.12)10%"/>
      <sheetName val="허가면적(5.12)5%"/>
      <sheetName val="허가면적(5.12)5% (2)"/>
      <sheetName val="허가면적(5.12) (2)"/>
      <sheetName val="내용2 (2.27) "/>
      <sheetName val="총괄"/>
      <sheetName val="주거용"/>
      <sheetName val="주거용 (2)"/>
      <sheetName val="건설투자"/>
      <sheetName val="비주거용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산출근거"/>
      <sheetName val="MC산출근거"/>
      <sheetName val="승용"/>
      <sheetName val="원본"/>
      <sheetName val="00실적"/>
      <sheetName val="GC산출"/>
      <sheetName val="5사남"/>
      <sheetName val="9805허가"/>
      <sheetName val="골프모래"/>
      <sheetName val="제품원재"/>
      <sheetName val="제안서"/>
      <sheetName val="행정표준(1)"/>
      <sheetName val="행정표준(2)"/>
      <sheetName val="단가"/>
      <sheetName val="#REF"/>
      <sheetName val="월간"/>
      <sheetName val="000000"/>
      <sheetName val="LEGEND"/>
      <sheetName val="년차수당"/>
      <sheetName val="1을"/>
      <sheetName val="VA_code"/>
      <sheetName val="피벗 (2)"/>
      <sheetName val="95년기준조정"/>
      <sheetName val="부재예실1월"/>
      <sheetName val="신규DEP"/>
      <sheetName val="5.세운W-A"/>
      <sheetName val="RD제품개발투자비(매가)"/>
      <sheetName val="조선용암면"/>
      <sheetName val="투찰추정"/>
      <sheetName val="건재양식"/>
      <sheetName val="건재"/>
      <sheetName val="생략채권"/>
      <sheetName val="유리"/>
      <sheetName val="PVC"/>
      <sheetName val="일년TOTAL"/>
      <sheetName val="건설성적"/>
      <sheetName val="코드표(세무증빙표)"/>
      <sheetName val="부재예실"/>
      <sheetName val=" 17. 유기소재.xlsx"/>
      <sheetName val="BASE"/>
      <sheetName val="95MAKER"/>
      <sheetName val="Atomic Wt Data"/>
      <sheetName val="수리결과"/>
      <sheetName val="3사인원"/>
      <sheetName val="부대시설"/>
      <sheetName val="Apt내역"/>
      <sheetName val="이자율"/>
      <sheetName val="건축도급단가"/>
      <sheetName val="실행단가"/>
      <sheetName val="1"/>
      <sheetName val="97년 추정"/>
      <sheetName val="배합비(99-05-25)"/>
      <sheetName val="빙100장비사양"/>
      <sheetName val="5쪽"/>
      <sheetName val="예산실적전체당월"/>
      <sheetName val="판촉계획(고정)"/>
      <sheetName val="전체LIST"/>
      <sheetName val="입찰안"/>
      <sheetName val="반품상세"/>
      <sheetName val="guard(mac)"/>
      <sheetName val="VXXXXXXX"/>
      <sheetName val="tggwan(mac)"/>
      <sheetName val="건    재"/>
      <sheetName val="차량별점검"/>
      <sheetName val="engline"/>
      <sheetName val="출장거리"/>
      <sheetName val="미지급금"/>
      <sheetName val="금액"/>
      <sheetName val="운영계획"/>
      <sheetName val="손료기준-공사부구두문의"/>
      <sheetName val="투자예산"/>
      <sheetName val="선급법인세"/>
      <sheetName val="초과사유"/>
      <sheetName val="CMC ellipse"/>
      <sheetName val="Sheet4"/>
      <sheetName val="자체실적1Q"/>
      <sheetName val="표지"/>
      <sheetName val="tabl"/>
      <sheetName val="Sheet1"/>
      <sheetName val="LAB설비"/>
      <sheetName val="통계자료"/>
      <sheetName val="04월계획"/>
      <sheetName val="12월실적"/>
      <sheetName val="단가대비표"/>
      <sheetName val="Sheet2 (2)"/>
      <sheetName val="Listvalues"/>
      <sheetName val="OD5000"/>
      <sheetName val="개설수"/>
      <sheetName val="report_20"/>
      <sheetName val="camera_30"/>
      <sheetName val="KSHAHU-6"/>
      <sheetName val="결론"/>
      <sheetName val="KPI(전산)"/>
      <sheetName val="전년실적"/>
      <sheetName val="당월실적"/>
      <sheetName val="구분자룩업"/>
      <sheetName val="1분기용기보증금산정"/>
      <sheetName val="DATA"/>
      <sheetName val="항목(1)"/>
      <sheetName val="04월실적"/>
      <sheetName val="협조전"/>
      <sheetName val="4"/>
      <sheetName val="기초생년월일"/>
      <sheetName val="배합비(2,3.4분기)"/>
      <sheetName val="계획08"/>
      <sheetName val="2-8"/>
      <sheetName val="10"/>
      <sheetName val="90"/>
      <sheetName val="40"/>
      <sheetName val="50"/>
      <sheetName val="60"/>
      <sheetName val="70"/>
      <sheetName val="camera_10"/>
      <sheetName val="구분자"/>
      <sheetName val="판매 계획"/>
      <sheetName val="1월"/>
      <sheetName val="11가공(유형구분)"/>
      <sheetName val="건재0001"/>
      <sheetName val="주간예상실적(공업)"/>
      <sheetName val="Finished Goods "/>
      <sheetName val="누계 내외장재 비율"/>
      <sheetName val="예산M11A"/>
      <sheetName val="차수"/>
      <sheetName val="코드표"/>
      <sheetName val="機器明細(MC)"/>
      <sheetName val="기타수당"/>
      <sheetName val="연차수당"/>
      <sheetName val="03년 손익"/>
      <sheetName val="기본"/>
      <sheetName val="Sheet2"/>
      <sheetName val="매트"/>
      <sheetName val="사이즈"/>
      <sheetName val="용융"/>
      <sheetName val="티슈"/>
      <sheetName val="일위대가목록"/>
      <sheetName val="2012년경영자면담자료.xlsx"/>
      <sheetName val="일위대가"/>
      <sheetName val="정보매체A동"/>
      <sheetName val="S"/>
      <sheetName val="울산(코드별규격)"/>
      <sheetName val="보증금(판)"/>
      <sheetName val="판1부"/>
      <sheetName val="월별수입"/>
      <sheetName val="원재료비 UP-DATE"/>
      <sheetName val="과제"/>
      <sheetName val="2.대외공문"/>
      <sheetName val="박두익"/>
      <sheetName val="PDP"/>
      <sheetName val="수율추이"/>
      <sheetName val="세부(종합)"/>
      <sheetName val="조명일위"/>
      <sheetName val="생산판매재고"/>
      <sheetName val=" 10개년 장기 판매계획 양식(산업용_플랜트).xlsx"/>
      <sheetName val="도입리스트"/>
      <sheetName val="로봇소프트플랫폼_기술분류"/>
      <sheetName val="미확인"/>
      <sheetName val="운영자금차입금"/>
      <sheetName val="주별납기"/>
      <sheetName val="9월누계(산지계)"/>
      <sheetName val="2"/>
      <sheetName val="지급자재"/>
      <sheetName val="총괄표"/>
      <sheetName val="9907협력"/>
      <sheetName val="지부전체"/>
      <sheetName val="준검 내역서"/>
      <sheetName val="현재담보"/>
      <sheetName val="변경내역대비표(2)"/>
      <sheetName val="포장"/>
      <sheetName val="2003년 합계"/>
      <sheetName val="실행내역서(DCU)"/>
      <sheetName val="판매일반"/>
      <sheetName val="3.현황(창호_라미)"/>
      <sheetName val="3.현황(내외장재_상재)"/>
      <sheetName val="KCB단가코드"/>
      <sheetName val="거래선유형"/>
      <sheetName val="PATENT"/>
      <sheetName val="1과"/>
      <sheetName val="재정"/>
      <sheetName val="TTT"/>
      <sheetName val="연료비입력"/>
      <sheetName val="과단위"/>
      <sheetName val="가설재손료"/>
      <sheetName val="인원계획"/>
      <sheetName val="참고.반영율"/>
      <sheetName val="실적(2안)"/>
      <sheetName val="보증금(전신전화가입권)"/>
      <sheetName val="미착기계"/>
      <sheetName val="대전-교대(A1-A2)"/>
      <sheetName val=" 갑지"/>
      <sheetName val="손익11"/>
      <sheetName val="출금실적"/>
      <sheetName val="재무현황"/>
      <sheetName val="두께별"/>
      <sheetName val=" Global Top (2012-03-06).xlsx"/>
      <sheetName val="특판단가표"/>
      <sheetName val="재고"/>
      <sheetName val="TOTAL"/>
      <sheetName val="MOTOR"/>
      <sheetName val="정공공사"/>
      <sheetName val="개요"/>
      <sheetName val="기안"/>
      <sheetName val="마케팅"/>
      <sheetName val="목차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캔개발배경"/>
      <sheetName val="캔판매목표"/>
      <sheetName val="시장"/>
      <sheetName val="일정표"/>
      <sheetName val="3.붙이기"/>
      <sheetName val="판매추정"/>
      <sheetName val="토지면적"/>
      <sheetName val="1인당GDP"/>
      <sheetName val="시도별추계인구"/>
      <sheetName val="미착재고현황전주"/>
      <sheetName val="6월보고실적현황"/>
      <sheetName val="기초일위"/>
      <sheetName val="시설일위"/>
      <sheetName val="내역"/>
      <sheetName val="패티"/>
      <sheetName val="소스"/>
      <sheetName val="을-ATYPE"/>
      <sheetName val="금강투자2000"/>
      <sheetName val="부서"/>
      <sheetName val="인상효1"/>
      <sheetName val="창호이맥스"/>
      <sheetName val="담보"/>
      <sheetName val="유리이맥스"/>
      <sheetName val="배합변경_1"/>
      <sheetName val="품질경영"/>
      <sheetName val="참고"/>
      <sheetName val="관할"/>
      <sheetName val="12"/>
      <sheetName val="품의서"/>
      <sheetName val="3.제품군별 실적(보고용)"/>
      <sheetName val="집계표(육상)"/>
      <sheetName val="9906"/>
      <sheetName val="매출"/>
      <sheetName val="이맥스"/>
      <sheetName val="연돌일위집계"/>
      <sheetName val="수선계획표"/>
      <sheetName val="SurveyTotals"/>
      <sheetName val="신제품1"/>
      <sheetName val="10월계획"/>
      <sheetName val="추가예산"/>
      <sheetName val="총원"/>
      <sheetName val="자동차표"/>
      <sheetName val="성형자료"/>
      <sheetName val="고정자산"/>
      <sheetName val="매출원가추정"/>
      <sheetName val="매출추정"/>
      <sheetName val="방정식그래프"/>
      <sheetName val="4월정산"/>
      <sheetName val="3월정산"/>
      <sheetName val="7월정산(8월)전체"/>
      <sheetName val="8월씨마크"/>
      <sheetName val="10월정산(9월사용-1)"/>
      <sheetName val="wall"/>
      <sheetName val="Front"/>
      <sheetName val="최종가공"/>
      <sheetName val="신제품3"/>
      <sheetName val="B"/>
      <sheetName val="상용"/>
      <sheetName val="기초자료"/>
      <sheetName val="견적집계표"/>
      <sheetName val="참조"/>
      <sheetName val="1인당매출"/>
      <sheetName val="기술자문 현재진행인력(기존+신규)"/>
      <sheetName val="그래프"/>
      <sheetName val="삼성(당산)월하반기"/>
      <sheetName val="2013년누계불량채권"/>
      <sheetName val="2013년누계"/>
      <sheetName val="R&amp;D"/>
      <sheetName val="해외"/>
      <sheetName val="지역별수출"/>
      <sheetName val="참조1"/>
      <sheetName val="직노"/>
      <sheetName val="C11F"/>
      <sheetName val="tt-RESIN"/>
      <sheetName val="GRACE"/>
      <sheetName val="h-013211-2"/>
      <sheetName val="코드"/>
      <sheetName val="철콘(승대건설)"/>
      <sheetName val="BASE보유"/>
      <sheetName val="참조자료"/>
      <sheetName val="출고 자료합계(원본)"/>
      <sheetName val="변경증감내역서"/>
      <sheetName val="10월예약현황(씨마크)"/>
      <sheetName val="CAT_5"/>
      <sheetName val="동해title"/>
      <sheetName val="집계표"/>
      <sheetName val="학력조회"/>
      <sheetName val="200005"/>
      <sheetName val="감축 아이템"/>
      <sheetName val="골조시행"/>
      <sheetName val="단위원가"/>
      <sheetName val="원단위 산출"/>
      <sheetName val="고정비 내역"/>
      <sheetName val="변동비 내역"/>
      <sheetName val="작성기준"/>
      <sheetName val="2월판매"/>
      <sheetName val="95D"/>
      <sheetName val="94D"/>
      <sheetName val="현황보고"/>
      <sheetName val="예산입력(전)"/>
      <sheetName val="Tbom-tot"/>
      <sheetName val="석고보드"/>
      <sheetName val="능율"/>
      <sheetName val="석고보드(3호기)"/>
      <sheetName val="차액보증"/>
      <sheetName val="관리전폭"/>
      <sheetName val="전체"/>
      <sheetName val="Sheet3"/>
      <sheetName val="지질조사"/>
      <sheetName val="3.수익성향상"/>
      <sheetName val="홈씨씨 기존 제상품 매출 거래선 LIST"/>
      <sheetName val="배합비(99-06-15)"/>
      <sheetName val="2-2.매출분석"/>
      <sheetName val="사업소득자세수추계"/>
      <sheetName val="★원자재작업용"/>
      <sheetName val="필름(100826)"/>
      <sheetName val="보강재작업용"/>
      <sheetName val="★가격표(2011.03)"/>
      <sheetName val="제품구분"/>
      <sheetName val="200101"/>
      <sheetName val="한강운반비"/>
      <sheetName val="생산일정"/>
      <sheetName val="일위대가표"/>
      <sheetName val="2000년 신제품 내역"/>
      <sheetName val="Code(전체)"/>
      <sheetName val="★15년 기능직 인센티브 지급안(15.10.13)-최종("/>
      <sheetName val=" ◎2016년 기본예산 공장 - 투자 집계-2016022"/>
      <sheetName val=" 2.건설사별 품목별 연도별 실적(9월3주차)_건설상품("/>
      <sheetName val="1차설계변경내역"/>
      <sheetName val=" 장외영향평가 진행 사항.xlsx"/>
      <sheetName val="계획담당자참고"/>
      <sheetName val="운반"/>
      <sheetName val=" 견적서"/>
      <sheetName val="세부추진"/>
      <sheetName val="상용_mp"/>
      <sheetName val=" 10개년 장기 판매계획 양식.xlsx"/>
      <sheetName val=" 장기재고 현황 (6월).xlsx"/>
      <sheetName val="변경"/>
      <sheetName val="GEUB "/>
      <sheetName val="본문"/>
      <sheetName val="공비대비"/>
      <sheetName val="2002-12"/>
      <sheetName val="2003-01"/>
      <sheetName val="★14 기본투자예산_ver3(신설수지 추가).xlsx"/>
      <sheetName val="물량투입계획"/>
      <sheetName val="FC-101"/>
      <sheetName val="Sheet1 (2)"/>
      <sheetName val="3월"/>
      <sheetName val="1분기보증금산정"/>
      <sheetName val="기능인사자료"/>
      <sheetName val="전부서공통"/>
      <sheetName val="동재"/>
      <sheetName val="실행철강하도"/>
      <sheetName val="공문"/>
      <sheetName val="설계조건"/>
      <sheetName val="경비비교표(예실)"/>
      <sheetName val="조회서"/>
      <sheetName val="자료"/>
      <sheetName val="2공구산출내역"/>
      <sheetName val="실행예산"/>
      <sheetName val="기준데이터"/>
      <sheetName val="기준사항"/>
      <sheetName val="참조셀삭제금지"/>
      <sheetName val="[9805허가.xls][9805허가.xls]A__9_58"/>
      <sheetName val="맨홀수량산출"/>
      <sheetName val="안정계산"/>
      <sheetName val="단면검토"/>
      <sheetName val="1호인버트수량"/>
      <sheetName val="[9805허가.xls][9805허가.xls]A__9_57"/>
      <sheetName val="인벤토리총괄표"/>
      <sheetName val="SV SPEC."/>
      <sheetName val="작업추진 계획(일정)"/>
      <sheetName val="FY2006 KCC UP"/>
      <sheetName val="제품(수출)매출"/>
      <sheetName val="상품매출"/>
      <sheetName val="재고 "/>
      <sheetName val="01월실적값복사"/>
      <sheetName val="01월예산값복사"/>
      <sheetName val="RW"/>
      <sheetName val="주문량"/>
      <sheetName val="이송중"/>
      <sheetName val="이토변실"/>
      <sheetName val="2004생산량"/>
      <sheetName val="원재료단가"/>
      <sheetName val="DHEQSUPT"/>
      <sheetName val="가격"/>
      <sheetName val="1995년 섹터별 매출"/>
      <sheetName val="센스타일,강화마루 운영(안).xlsx"/>
      <sheetName val="대비2"/>
      <sheetName val="고려성적"/>
      <sheetName val="시간대별 Dia."/>
      <sheetName val="98지급계획"/>
      <sheetName val="철근집계표"/>
      <sheetName val=" 사장님 지시 신규거래선점검('15년 통보양식)-1505"/>
      <sheetName val="갑지"/>
      <sheetName val="실행"/>
      <sheetName val="[9805허가.xls][9805허가.xls]A__98_2"/>
      <sheetName val="[9805허가.xls][9805허가.xls]A__98_5"/>
      <sheetName val="[9805허가.xls][9805허가.xls]A__98_4"/>
      <sheetName val="[9805허가.xls][9805허가.xls]A__98_3"/>
      <sheetName val="[9805허가.xls][9805허가.xls]A__98_6"/>
      <sheetName val="[9805허가.xls][9805허가.xls]A__98_8"/>
      <sheetName val="[9805허가.xls][9805허가.xls]A__98_7"/>
      <sheetName val="[9805허가.xls][9805허가.xls]A__98_9"/>
      <sheetName val="[9805허가.xls][9805허가.xls]A__9_10"/>
      <sheetName val="[9805허가.xls][9805허가.xls]A__9_12"/>
      <sheetName val="[9805허가.xls][9805허가.xls]A__9_11"/>
      <sheetName val="[9805허가.xls][9805허가.xls]A__9_13"/>
      <sheetName val="[9805허가.xls][9805허가.xls]A__9_14"/>
      <sheetName val="[9805허가.xls][9805허가.xls]A__9_15"/>
      <sheetName val="자재"/>
      <sheetName val="[9805허가.xls][9805허가.xls]A__9_23"/>
      <sheetName val="[9805허가.xls][9805허가.xls]A__9_22"/>
      <sheetName val="[9805허가.xls][9805허가.xls]A__9_21"/>
      <sheetName val="[9805허가.xls][9805허가.xls]A__9_16"/>
      <sheetName val="[9805허가.xls][9805허가.xls]A__9_17"/>
      <sheetName val="[9805허가.xls][9805허가.xls]A__9_18"/>
      <sheetName val="[9805허가.xls][9805허가.xls]A__9_19"/>
      <sheetName val="[9805허가.xls][9805허가.xls]A__9_20"/>
      <sheetName val="[9805허가.xls][9805허가.xls]A__9_25"/>
      <sheetName val="[9805허가.xls][9805허가.xls]A__9_24"/>
      <sheetName val="[9805허가.xls][9805허가.xls]A__9_26"/>
      <sheetName val="[9805허가.xls][9805허가.xls]A__9_56"/>
      <sheetName val="[9805허가.xls][9805허가.xls]A__9_43"/>
      <sheetName val="[9805허가.xls][9805허가.xls]A__9_36"/>
      <sheetName val="[9805허가.xls][9805허가.xls]A__9_35"/>
      <sheetName val="[9805허가.xls][9805허가.xls]A__9_32"/>
      <sheetName val="[9805허가.xls][9805허가.xls]A__9_29"/>
      <sheetName val="[9805허가.xls][9805허가.xls]A__9_27"/>
      <sheetName val="[9805허가.xls][9805허가.xls]A__9_28"/>
      <sheetName val="[9805허가.xls][9805허가.xls]A__9_30"/>
      <sheetName val="[9805허가.xls][9805허가.xls]A__9_31"/>
      <sheetName val="[9805허가.xls][9805허가.xls]A__9_33"/>
      <sheetName val="[9805허가.xls][9805허가.xls]A__9_34"/>
      <sheetName val="[9805허가.xls][9805허가.xls]A__9_37"/>
      <sheetName val="[9805허가.xls][9805허가.xls]A__9_39"/>
      <sheetName val="[9805허가.xls][9805허가.xls]A__9_38"/>
      <sheetName val="[9805허가.xls][9805허가.xls]A__9_42"/>
      <sheetName val="[9805허가.xls][9805허가.xls]A__9_40"/>
      <sheetName val="[9805허가.xls][9805허가.xls]A__9_41"/>
      <sheetName val="[9805허가.xls][9805허가.xls]A__9_46"/>
      <sheetName val="[9805허가.xls][9805허가.xls]A__9_48"/>
      <sheetName val="[9805허가.xls][9805허가.xls]A__9_44"/>
      <sheetName val="[9805허가.xls][9805허가.xls]A__9_45"/>
      <sheetName val="[9805허가.xls][9805허가.xls]A__9_47"/>
      <sheetName val="[9805허가.xls][9805허가.xls]A__9_49"/>
      <sheetName val="[9805허가.xls][9805허가.xls]A__9_50"/>
      <sheetName val="[9805허가.xls][9805허가.xls]A__9_51"/>
      <sheetName val="[9805허가.xls][9805허가.xls]A__9_53"/>
      <sheetName val="[9805허가.xls][9805허가.xls]A__9_52"/>
      <sheetName val="[9805허가.xls][9805허가.xls]A__9_54"/>
      <sheetName val="[9805허가.xls][9805허가.xls]A__9_55"/>
      <sheetName val="[9805허가.xls][9805허가.xls]A___143"/>
      <sheetName val="[9805허가.xls][9805허가.xls]A__9_75"/>
      <sheetName val="[9805허가.xls][9805허가.xls]A__9_74"/>
      <sheetName val="[9805허가.xls][9805허가.xls]A__9_73"/>
      <sheetName val="[9805허가.xls][9805허가.xls]A__9_72"/>
      <sheetName val="[9805허가.xls][9805허가.xls]A__9_71"/>
      <sheetName val="[9805허가.xls][9805허가.xls]A__9_62"/>
      <sheetName val="[9805허가.xls][9805허가.xls]A__9_61"/>
      <sheetName val="[9805허가.xls][9805허가.xls]A__9_60"/>
      <sheetName val="[9805허가.xls][9805허가.xls]A__9_59"/>
      <sheetName val="[9805허가.xls][9805허가.xls]A__9_63"/>
      <sheetName val="[9805허가.xls][9805허가.xls]A__9_66"/>
      <sheetName val="[9805허가.xls][9805허가.xls]A__9_67"/>
      <sheetName val="[9805허가.xls][9805허가.xls]A__9_64"/>
      <sheetName val="[9805허가.xls][9805허가.xls]A__9_65"/>
      <sheetName val="[9805허가.xls][9805허가.xls]A__9_70"/>
      <sheetName val="[9805허가.xls][9805허가.xls]A__9_69"/>
      <sheetName val="[9805허가.xls][9805허가.xls]A__9_68"/>
      <sheetName val="[9805허가.xls][9805허가.xls]A___114"/>
      <sheetName val="[9805허가.xls][9805허가.xls]A__9_99"/>
      <sheetName val="[9805허가.xls][9805허가.xls]A__9_78"/>
      <sheetName val="[9805허가.xls][9805허가.xls]A__9_77"/>
      <sheetName val="[9805허가.xls][9805허가.xls]A__9_76"/>
      <sheetName val="[9805허가.xls][9805허가.xls]A__9_80"/>
      <sheetName val="[9805허가.xls][9805허가.xls]A__9_79"/>
      <sheetName val="[9805허가.xls][9805허가.xls]A__9_94"/>
      <sheetName val="[9805허가.xls][9805허가.xls]A__9_81"/>
      <sheetName val="[9805허가.xls][9805허가.xls]A__9_93"/>
      <sheetName val="[9805허가.xls][9805허가.xls]A__9_91"/>
      <sheetName val="[9805허가.xls][9805허가.xls]A__9_82"/>
      <sheetName val="[9805허가.xls][9805허가.xls]A__9_83"/>
      <sheetName val="[9805허가.xls][9805허가.xls]A__9_85"/>
      <sheetName val="[9805허가.xls][9805허가.xls]A__9_84"/>
      <sheetName val="[9805허가.xls][9805허가.xls]A__9_86"/>
      <sheetName val="[9805허가.xls][9805허가.xls]A__9_88"/>
      <sheetName val="[9805허가.xls][9805허가.xls]A__9_87"/>
      <sheetName val="[9805허가.xls][9805허가.xls]A__9_89"/>
      <sheetName val="[9805허가.xls][9805허가.xls]A__9_90"/>
      <sheetName val="[9805허가.xls][9805허가.xls]A__9_92"/>
      <sheetName val="[9805허가.xls][9805허가.xls]A__9_95"/>
      <sheetName val="[9805허가.xls][9805허가.xls]A__9_96"/>
      <sheetName val="[9805허가.xls][9805허가.xls]A__9_98"/>
      <sheetName val="[9805허가.xls][9805허가.xls]A__9_97"/>
      <sheetName val="[9805허가.xls][9805허가.xls]A___109"/>
      <sheetName val="[9805허가.xls][9805허가.xls]A___110"/>
      <sheetName val="[9805허가.xls][9805허가.xls]A___107"/>
      <sheetName val="[9805허가.xls][9805허가.xls]A___103"/>
      <sheetName val="[9805허가.xls][9805허가.xls]A___100"/>
      <sheetName val="[9805허가.xls][9805허가.xls]A___101"/>
      <sheetName val="[9805허가.xls][9805허가.xls]A___104"/>
      <sheetName val="[9805허가.xls][9805허가.xls]A___102"/>
      <sheetName val="[9805허가.xls][9805허가.xls]A___106"/>
      <sheetName val="[9805허가.xls][9805허가.xls]A___105"/>
      <sheetName val="[9805허가.xls][9805허가.xls]A___108"/>
      <sheetName val="[9805허가.xls][9805허가.xls]A___111"/>
      <sheetName val="[9805허가.xls][9805허가.xls]A___112"/>
      <sheetName val="[9805허가.xls][9805허가.xls]A___113"/>
      <sheetName val="[9805허가.xls][9805허가.xls]A___115"/>
      <sheetName val="[9805허가.xls][9805허가.xls]A___129"/>
      <sheetName val="[9805허가.xls][9805허가.xls]A___117"/>
      <sheetName val="[9805허가.xls][9805허가.xls]A___116"/>
      <sheetName val="[9805허가.xls][9805허가.xls]A___118"/>
      <sheetName val="[9805허가.xls][9805허가.xls]A___119"/>
      <sheetName val="[9805허가.xls][9805허가.xls]A___120"/>
      <sheetName val="[9805허가.xls][9805허가.xls]A___124"/>
      <sheetName val="[9805허가.xls][9805허가.xls]A___121"/>
      <sheetName val="[9805허가.xls][9805허가.xls]A___122"/>
      <sheetName val="[9805허가.xls][9805허가.xls]A___125"/>
      <sheetName val="[9805허가.xls][9805허가.xls]A___123"/>
      <sheetName val="[9805허가.xls][9805허가.xls]A___126"/>
      <sheetName val="[9805허가.xls][9805허가.xls]A___127"/>
      <sheetName val="[9805허가.xls][9805허가.xls]A___128"/>
      <sheetName val="[9805허가.xls][9805허가.xls]A___130"/>
      <sheetName val="[9805허가.xls][9805허가.xls]A___133"/>
      <sheetName val="[9805허가.xls][9805허가.xls]A___131"/>
      <sheetName val="[9805허가.xls][9805허가.xls]A___132"/>
      <sheetName val="[9805허가.xls][9805허가.xls]A___135"/>
      <sheetName val="[9805허가.xls][9805허가.xls]A___137"/>
      <sheetName val="[9805허가.xls][9805허가.xls]A___134"/>
      <sheetName val="[9805허가.xls][9805허가.xls]A___136"/>
      <sheetName val="[9805허가.xls][9805허가.xls]A___138"/>
      <sheetName val="[9805허가.xls][9805허가.xls]A:\9805"/>
      <sheetName val="[9805허가.xls][9805허가.xls]A___139"/>
      <sheetName val="[9805허가.xls][9805허가.xls]A___140"/>
      <sheetName val="[9805허가.xls][9805허가.xls]A___142"/>
      <sheetName val="[9805허가.xls][9805허가.xls]A___141"/>
      <sheetName val="[9805허가.xls][9805허가.xls]A___218"/>
      <sheetName val="[9805허가.xls][9805허가.xls]A___214"/>
      <sheetName val="[9805허가.xls][9805허가.xls]A___172"/>
      <sheetName val="[9805허가.xls][9805허가.xls]A___146"/>
      <sheetName val="[9805허가.xls][9805허가.xls]A___144"/>
      <sheetName val="[9805허가.xls][9805허가.xls]A___145"/>
      <sheetName val="[9805허가.xls][9805허가.xls]A___147"/>
      <sheetName val="[9805허가.xls][9805허가.xls]A___148"/>
      <sheetName val="[9805허가.xls][9805허가.xls]A___149"/>
      <sheetName val="[9805허가.xls][9805허가.xls]A___150"/>
      <sheetName val="[9805허가.xls][9805허가.xls]A___152"/>
      <sheetName val="[9805허가.xls][9805허가.xls]A___151"/>
      <sheetName val="[9805허가.xls][9805허가.xls]A___155"/>
      <sheetName val="[9805허가.xls][9805허가.xls]A___153"/>
      <sheetName val="[9805허가.xls][9805허가.xls]A___154"/>
      <sheetName val="[9805허가.xls][9805허가.xls]A___156"/>
      <sheetName val="[9805허가.xls][9805허가.xls]A___157"/>
      <sheetName val="[9805허가.xls][9805허가.xls]A___168"/>
      <sheetName val="[9805허가.xls][9805허가.xls]A___164"/>
      <sheetName val="[9805허가.xls][9805허가.xls]A___160"/>
      <sheetName val="[9805허가.xls][9805허가.xls]A___159"/>
      <sheetName val="[9805허가.xls][9805허가.xls]A___158"/>
      <sheetName val="[9805허가.xls][9805허가.xls]A___161"/>
      <sheetName val="[9805허가.xls][9805허가.xls]A___162"/>
      <sheetName val="[9805허가.xls][9805허가.xls]A___163"/>
      <sheetName val="[9805허가.xls][9805허가.xls]A___165"/>
      <sheetName val="[9805허가.xls][9805허가.xls]A___167"/>
      <sheetName val="[9805허가.xls][9805허가.xls]A___166"/>
      <sheetName val="[9805허가.xls][9805허가.xls]A___170"/>
      <sheetName val="[9805허가.xls][9805허가.xls]A___169"/>
      <sheetName val="[9805허가.xls][9805허가.xls]A___171"/>
      <sheetName val="[9805허가.xls][9805허가.xls]A___215"/>
      <sheetName val="[9805허가.xls][9805허가.xls]A___173"/>
      <sheetName val="[9805허가.xls][9805허가.xls]A___182"/>
      <sheetName val="[9805허가.xls][9805허가.xls]A___180"/>
      <sheetName val="[9805허가.xls][9805허가.xls]A___177"/>
      <sheetName val="[9805허가.xls][9805허가.xls]A___179"/>
      <sheetName val="[9805허가.xls][9805허가.xls]A___174"/>
      <sheetName val="[9805허가.xls][9805허가.xls]A___175"/>
      <sheetName val="[9805허가.xls][9805허가.xls]A___176"/>
      <sheetName val="[9805허가.xls][9805허가.xls]A___178"/>
      <sheetName val="[9805허가.xls][9805허가.xls]A___181"/>
      <sheetName val="[9805허가.xls][9805허가.xls]A___190"/>
      <sheetName val="[9805허가.xls][9805허가.xls]A___185"/>
      <sheetName val="[9805허가.xls][9805허가.xls]A___183"/>
      <sheetName val="[9805허가.xls][9805허가.xls]A___187"/>
      <sheetName val="[9805허가.xls][9805허가.xls]A___184"/>
      <sheetName val="[9805허가.xls][9805허가.xls]A___186"/>
      <sheetName val="[9805허가.xls][9805허가.xls]A___188"/>
      <sheetName val="[9805허가.xls][9805허가.xls]A___205"/>
      <sheetName val="[9805허가.xls][9805허가.xls]A___189"/>
      <sheetName val="[9805허가.xls][9805허가.xls]A___206"/>
      <sheetName val="[9805허가.xls][9805허가.xls]A___203"/>
      <sheetName val="[9805허가.xls][9805허가.xls]A___191"/>
      <sheetName val="[9805허가.xls][9805허가.xls]A___192"/>
      <sheetName val="[9805허가.xls][9805허가.xls]A___196"/>
      <sheetName val="[9805허가.xls][9805허가.xls]A___193"/>
      <sheetName val="[9805허가.xls][9805허가.xls]A___194"/>
      <sheetName val="[9805허가.xls][9805허가.xls]A___195"/>
      <sheetName val="[9805허가.xls][9805허가.xls]A___198"/>
      <sheetName val="[9805허가.xls][9805허가.xls]A___197"/>
      <sheetName val="[9805허가.xls][9805허가.xls]A___201"/>
      <sheetName val="[9805허가.xls][9805허가.xls]A___199"/>
      <sheetName val="[9805허가.xls][9805허가.xls]A___200"/>
      <sheetName val="[9805허가.xls][9805허가.xls]A___202"/>
      <sheetName val="[9805허가.xls][9805허가.xls]A___204"/>
      <sheetName val="[9805허가.xls][9805허가.xls]A___212"/>
      <sheetName val="[9805허가.xls][9805허가.xls]A___208"/>
      <sheetName val="[9805허가.xls][9805허가.xls]A___207"/>
      <sheetName val="[9805허가.xls][9805허가.xls]A___209"/>
      <sheetName val="[9805허가.xls][9805허가.xls]A___211"/>
      <sheetName val="[9805허가.xls][9805허가.xls]A___210"/>
      <sheetName val="[9805허가.xls][9805허가.xls]A___213"/>
      <sheetName val="[9805허가.xls][9805허가.xls]A___216"/>
      <sheetName val="[9805허가.xls][9805허가.xls]A___217"/>
      <sheetName val="[9805허가.xls][9805허가.xls]A___219"/>
      <sheetName val="[9805허가.xls][9805허가.xls]A___220"/>
      <sheetName val="[9805허가.xls][9805허가.xls]A___221"/>
      <sheetName val="[9805허가.xls][9805허가.xls]A___222"/>
      <sheetName val="[9805허가.xls][9805허가.xls]A___223"/>
      <sheetName val="[9805허가.xls][9805허가.xls]A___225"/>
      <sheetName val="[9805허가.xls][9805허가.xls]A___224"/>
      <sheetName val="[9805허가.xls][9805허가.xls]A___226"/>
      <sheetName val="[9805허가.xls][9805허가.xls]A___227"/>
      <sheetName val="_2_________________9_3________2"/>
      <sheetName val="[9805허가.xls][9805허가.xls]A___228"/>
      <sheetName val="[9805허가.xls][9805허가.xls]A___230"/>
      <sheetName val="[9805허가.xls][9805허가.xls]A___229"/>
      <sheetName val="[9805허가.xls][9805허가.xls]A___231"/>
      <sheetName val="[9805허가.xls][9805허가.xls]A___232"/>
      <sheetName val="[9805허가.xls][9805허가.xls]A___235"/>
      <sheetName val="[9805허가.xls][9805허가.xls]A___234"/>
      <sheetName val="[9805허가.xls][9805허가.xls]A___233"/>
      <sheetName val="[9805허가.xls][9805허가.xls]A___237"/>
      <sheetName val="[9805허가.xls][9805허가.xls]A___236"/>
      <sheetName val="[9805허가.xls][9805허가.xls]A___238"/>
      <sheetName val="[9805허가.xls][9805허가.xls]A___239"/>
      <sheetName val="[9805허가.xls][9805허가.xls]A___243"/>
      <sheetName val="[9805허가.xls][9805허가.xls]A___240"/>
      <sheetName val="[9805허가.xls][9805허가.xls]A___241"/>
      <sheetName val="[9805허가.xls][9805허가.xls]A___242"/>
      <sheetName val="[9805허가.xls][9805허가.xls]A___244"/>
      <sheetName val="[9805허가.xls][9805허가.xls]A___246"/>
      <sheetName val="[9805허가.xls][9805허가.xls]A___245"/>
      <sheetName val="[9805허가.xls][9805허가.xls]A___251"/>
      <sheetName val="[9805허가.xls][9805허가.xls]A___248"/>
      <sheetName val="[9805허가.xls][9805허가.xls]A___247"/>
      <sheetName val="[9805허가.xls][9805허가.xls]A___250"/>
      <sheetName val="[9805허가.xls][9805허가.xls]A___249"/>
      <sheetName val="[9805허가.xls][9805허가.xls]A___252"/>
      <sheetName val="[9805허가.xls][9805허가.xls]A___254"/>
      <sheetName val="[9805허가.xls][9805허가.xls]A___253"/>
      <sheetName val="[9805허가.xls][9805허가.xls]A___259"/>
      <sheetName val="[9805허가.xls][9805허가.xls]A___256"/>
      <sheetName val="[9805허가.xls][9805허가.xls]A___255"/>
      <sheetName val="[9805허가.xls][9805허가.xls]A___258"/>
      <sheetName val="[9805허가.xls][9805허가.xls]A___257"/>
      <sheetName val="[9805허가.xls][9805허가.xls]A___261"/>
      <sheetName val="[9805허가.xls][9805허가.xls]A___260"/>
      <sheetName val="[9805허가.xls][9805허가.xls]A___263"/>
      <sheetName val="[9805허가.xls][9805허가.xls]A___262"/>
      <sheetName val="[9805허가.xls][9805허가.xls]A___265"/>
      <sheetName val="[9805허가.xls][9805허가.xls]A___264"/>
      <sheetName val="[9805허가.xls][9805허가.xls]A___273"/>
      <sheetName val="[9805허가.xls][9805허가.xls]A___267"/>
      <sheetName val="[9805허가.xls][9805허가.xls]A___266"/>
      <sheetName val="[9805허가.xls][9805허가.xls]A___268"/>
      <sheetName val="[9805허가.xls][9805허가.xls]A___272"/>
      <sheetName val="[9805허가.xls][9805허가.xls]A___269"/>
      <sheetName val="[9805허가.xls][9805허가.xls]A___270"/>
      <sheetName val="[9805허가.xls][9805허가.xls]A___271"/>
      <sheetName val="[9805허가.xls][9805허가.xls]A___280"/>
      <sheetName val="[9805허가.xls][9805허가.xls]A___275"/>
      <sheetName val="[9805허가.xls][9805허가.xls]A___274"/>
      <sheetName val="[9805허가.xls][9805허가.xls]A___276"/>
      <sheetName val="[9805허가.xls][9805허가.xls]A___277"/>
      <sheetName val="[9805허가.xls][9805허가.xls]A___278"/>
      <sheetName val="[9805허가.xls][9805허가.xls]A___279"/>
      <sheetName val="[9805허가.xls][9805허가.xls]A___281"/>
      <sheetName val="[9805허가.xls][9805허가.xls]A___283"/>
      <sheetName val="[9805허가.xls][9805허가.xls]A___282"/>
      <sheetName val="[9805허가.xls][9805허가.xls]A___284"/>
      <sheetName val="[9805허가.xls][9805허가.xls]A___285"/>
      <sheetName val="[9805허가.xls][9805허가.xls]A___298"/>
      <sheetName val="[9805허가.xls][9805허가.xls]A___293"/>
      <sheetName val="[9805허가.xls][9805허가.xls]A___292"/>
      <sheetName val="[9805허가.xls][9805허가.xls]A___289"/>
      <sheetName val="[9805허가.xls][9805허가.xls]A___286"/>
      <sheetName val="[9805허가.xls][9805허가.xls]A___287"/>
      <sheetName val="[9805허가.xls][9805허가.xls]A___288"/>
      <sheetName val="[9805허가.xls][9805허가.xls]A___290"/>
      <sheetName val="[9805허가.xls][9805허가.xls]A___291"/>
      <sheetName val="[9805허가.xls][9805허가.xls]A___297"/>
      <sheetName val="[9805허가.xls][9805허가.xls]A___295"/>
      <sheetName val="[9805허가.xls][9805허가.xls]A___294"/>
      <sheetName val="[9805허가.xls][9805허가.xls]A___296"/>
      <sheetName val="[9805허가.xls][9805허가.xls]A___299"/>
      <sheetName val="[9805허가.xls][9805허가.xls]A___301"/>
      <sheetName val="[9805허가.xls][9805허가.xls]A___300"/>
      <sheetName val="[9805허가.xls][9805허가.xls]A___302"/>
      <sheetName val="[9805허가.xls][9805허가.xls]A___303"/>
      <sheetName val="[9805허가.xls][9805허가.xls]A___347"/>
      <sheetName val="[9805허가.xls][9805허가.xls]A___343"/>
      <sheetName val="[9805허가.xls][9805허가.xls]A___342"/>
      <sheetName val="[9805허가.xls][9805허가.xls]A___337"/>
      <sheetName val="[9805허가.xls][9805허가.xls]A___333"/>
      <sheetName val="[9805허가.xls][9805허가.xls]A___317"/>
      <sheetName val="[9805허가.xls][9805허가.xls]A___313"/>
      <sheetName val="[9805허가.xls][9805허가.xls]A___312"/>
      <sheetName val="[9805허가.xls][9805허가.xls]A___309"/>
      <sheetName val="[9805허가.xls][9805허가.xls]A___306"/>
      <sheetName val="[9805허가.xls][9805허가.xls]A___305"/>
      <sheetName val="[9805허가.xls][9805허가.xls]A___304"/>
      <sheetName val="[9805허가.xls][9805허가.xls]A___307"/>
      <sheetName val="[9805허가.xls][9805허가.xls]A___308"/>
      <sheetName val="[9805허가.xls][9805허가.xls]A___310"/>
      <sheetName val="[9805허가.xls][9805허가.xls]A___311"/>
      <sheetName val="[9805허가.xls][9805허가.xls]A___314"/>
      <sheetName val="[9805허가.xls][9805허가.xls]A___315"/>
      <sheetName val="[9805허가.xls][9805허가.xls]A___316"/>
      <sheetName val="[9805허가.xls][9805허가.xls]A___328"/>
      <sheetName val="[9805허가.xls][9805허가.xls]A___327"/>
      <sheetName val="[9805허가.xls][9805허가.xls]A___322"/>
      <sheetName val="[9805허가.xls][9805허가.xls]A___318"/>
      <sheetName val="[9805허가.xls][9805허가.xls]A___319"/>
      <sheetName val="[9805허가.xls][9805허가.xls]A___320"/>
      <sheetName val="[9805허가.xls][9805허가.xls]A___321"/>
      <sheetName val="[9805허가.xls][9805허가.xls]A___323"/>
      <sheetName val="[9805허가.xls][9805허가.xls]A___324"/>
      <sheetName val="[9805허가.xls][9805허가.xls]A___325"/>
      <sheetName val="[9805허가.xls][9805허가.xls]A___326"/>
      <sheetName val="[9805허가.xls][9805허가.xls]A___329"/>
      <sheetName val="[9805허가.xls][9805허가.xls]A___330"/>
      <sheetName val="[9805허가.xls][9805허가.xls]A___331"/>
      <sheetName val="[9805허가.xls][9805허가.xls]A___332"/>
      <sheetName val="[9805허가.xls][9805허가.xls]A___334"/>
      <sheetName val="[9805허가.xls][9805허가.xls]A___335"/>
      <sheetName val="[9805허가.xls][9805허가.xls]A___336"/>
      <sheetName val="[9805허가.xls][9805허가.xls]A___338"/>
      <sheetName val="[9805허가.xls][9805허가.xls]A___339"/>
      <sheetName val="[9805허가.xls][9805허가.xls]A___340"/>
      <sheetName val="[9805허가.xls][9805허가.xls]A___341"/>
      <sheetName val="[9805허가.xls][9805허가.xls]A___350"/>
      <sheetName val="[9805허가.xls][9805허가.xls]A___344"/>
      <sheetName val="[9805허가.xls][9805허가.xls]A___345"/>
      <sheetName val="[9805허가.xls][9805허가.xls]A___346"/>
      <sheetName val="[9805허가.xls][9805허가.xls]A___348"/>
      <sheetName val="[9805허가.xls][9805허가.xls]A___349"/>
      <sheetName val="[9805허가.xls][9805허가.xls]A___351"/>
      <sheetName val="[9805허가.xls][9805허가.xls]A___355"/>
      <sheetName val="[9805허가.xls][9805허가.xls]A___354"/>
      <sheetName val="[9805허가.xls][9805허가.xls]A___352"/>
      <sheetName val="[9805허가.xls][9805허가.xls]A___353"/>
      <sheetName val="[9805허가.xls][9805허가.xls]A___356"/>
      <sheetName val="[9805허가.xls][9805허가.xls]A___358"/>
      <sheetName val="[9805허가.xls][9805허가.xls]A___357"/>
      <sheetName val="[9805허가.xls][9805허가.xls]A___359"/>
      <sheetName val="[9805허가.xls][9805허가.xls]A___361"/>
      <sheetName val="[9805허가.xls][9805허가.xls]A___360"/>
      <sheetName val="[9805허가.xls][9805허가.xls]A___362"/>
      <sheetName val="[9805허가.xls][9805허가.xls]A___363"/>
      <sheetName val="간접비"/>
      <sheetName val="[9805허가.xls][9805허가.xls]A___371"/>
      <sheetName val="[9805허가.xls][9805허가.xls]A___367"/>
      <sheetName val="[9805허가.xls][9805허가.xls]A___366"/>
      <sheetName val="[9805허가.xls][9805허가.xls]A___364"/>
      <sheetName val="[9805허가.xls][9805허가.xls]A___365"/>
      <sheetName val="[9805허가.xls][9805허가.xls]A___369"/>
      <sheetName val="[9805허가.xls][9805허가.xls]A___368"/>
      <sheetName val="[9805허가.xls][9805허가.xls]A___370"/>
      <sheetName val="[9805허가.xls][9805허가.xls]A___372"/>
      <sheetName val="[9805허가.xls][9805허가.xls]A___373"/>
      <sheetName val="[9805허가.xls][9805허가.xls]A___374"/>
      <sheetName val="[9805허가.xls][9805허가.xls]A___375"/>
      <sheetName val="[9805허가.xls][9805허가.xls]A___376"/>
      <sheetName val="[9805허가.xls][9805허가.xls]A___378"/>
      <sheetName val="[9805허가.xls][9805허가.xls]A___377"/>
      <sheetName val="[9805허가.xls][9805허가.xls]A___381"/>
      <sheetName val="[9805허가.xls][9805허가.xls]A___379"/>
      <sheetName val="[9805허가.xls][9805허가.xls]A___380"/>
      <sheetName val="[9805허가.xls][9805허가.xls]A___385"/>
      <sheetName val="[9805허가.xls][9805허가.xls]A___382"/>
      <sheetName val="[9805허가.xls][9805허가.xls]A___383"/>
      <sheetName val="[9805허가.xls][9805허가.xls]A___384"/>
      <sheetName val="[9805허가.xls][9805허가.xls]A___387"/>
      <sheetName val="[9805허가.xls][9805허가.xls]A___386"/>
      <sheetName val="[9805허가.xls][9805허가.xls]A___388"/>
      <sheetName val="[9805허가.xls][9805허가.xls]A___389"/>
      <sheetName val="[9805허가.xls][9805허가.xls]A___390"/>
      <sheetName val="[9805허가.xls][9805허가.xls]A___396"/>
      <sheetName val="[9805허가.xls][9805허가.xls]A___391"/>
      <sheetName val="[9805허가.xls][9805허가.xls]A___392"/>
      <sheetName val="[9805허가.xls][9805허가.xls]A___393"/>
      <sheetName val="[9805허가.xls][9805허가.xls]A___394"/>
      <sheetName val="[9805허가.xls][9805허가.xls]A___395"/>
      <sheetName val="[9805허가.xls][9805허가.xls]A___398"/>
      <sheetName val="[9805허가.xls][9805허가.xls]A___397"/>
      <sheetName val="[9805허가.xls][9805허가.xls]A___399"/>
      <sheetName val="[9805허가.xls][9805허가.xls]A___402"/>
      <sheetName val="[9805허가.xls][9805허가.xls]A___400"/>
      <sheetName val="[9805허가.xls][9805허가.xls]A___401"/>
      <sheetName val="[9805허가.xls][9805허가.xls]A___403"/>
      <sheetName val="[9805허가.xls][9805허가.xls]A___405"/>
      <sheetName val="[9805허가.xls][9805허가.xls]A___404"/>
      <sheetName val="[9805허가.xls][9805허가.xls]A___406"/>
      <sheetName val="[9805허가.xls][9805허가.xls]A___408"/>
      <sheetName val="[9805허가.xls][9805허가.xls]A___407"/>
      <sheetName val="[9805허가.xls][9805허가.xls]A___409"/>
      <sheetName val="[9805허가.xls][9805허가.xls]A___410"/>
      <sheetName val="[9805허가.xls][9805허가.xls]A___413"/>
      <sheetName val="[9805허가.xls][9805허가.xls]A___411"/>
      <sheetName val="[9805허가.xls][9805허가.xls]A___412"/>
      <sheetName val="[9805허가.xls][9805허가.xls]A___415"/>
      <sheetName val="[9805허가.xls][9805허가.xls]A___414"/>
      <sheetName val="[9805허가.xls][9805허가.xls]A___416"/>
      <sheetName val="[9805허가.xls][9805허가.xls]A___418"/>
      <sheetName val="[9805허가.xls][9805허가.xls]A___417"/>
      <sheetName val="[9805허가.xls][9805허가.xls]A___422"/>
      <sheetName val="[9805허가.xls][9805허가.xls]A___419"/>
      <sheetName val="[9805허가.xls][9805허가.xls]A___420"/>
      <sheetName val="[9805허가.xls][9805허가.xls]A___421"/>
      <sheetName val="[9805허가.xls][9805허가.xls]A___423"/>
      <sheetName val="[9805허가.xls][9805허가.xls]A___424"/>
      <sheetName val="[9805허가.xls][9805허가.xls]A___426"/>
      <sheetName val="[9805허가.xls][9805허가.xls]A___425"/>
      <sheetName val="[9805허가.xls][9805허가.xls]A___427"/>
      <sheetName val="[9805허가.xls][9805허가.xls]A___428"/>
      <sheetName val="[9805허가.xls][9805허가.xls]A___429"/>
      <sheetName val="[9805허가.xls][9805허가.xls]A___431"/>
      <sheetName val="[9805허가.xls][9805허가.xls]A___430"/>
      <sheetName val="[9805허가.xls][9805허가.xls]A___432"/>
      <sheetName val="[9805허가.xls][9805허가.xls]A___435"/>
      <sheetName val="[9805허가.xls][9805허가.xls]A___434"/>
      <sheetName val="[9805허가.xls][9805허가.xls]A___433"/>
      <sheetName val="[9805허가.xls][9805허가.xls]A___436"/>
      <sheetName val="[9805허가.xls][9805허가.xls]A___437"/>
      <sheetName val="[9805허가.xls][9805허가.xls]A___438"/>
      <sheetName val="[9805허가.xls][9805허가.xls]A___440"/>
      <sheetName val="[9805허가.xls][9805허가.xls]A___439"/>
      <sheetName val="[9805허가.xls][9805허가.xls]A___441"/>
      <sheetName val="[9805허가.xls][9805허가.xls]A___443"/>
      <sheetName val="[9805허가.xls][9805허가.xls]A___442"/>
      <sheetName val="[9805허가.xls][9805허가.xls]A___444"/>
      <sheetName val="[9805허가.xls][9805허가.xls]A___445"/>
      <sheetName val="[9805허가.xls][9805허가.xls]A___446"/>
      <sheetName val="[9805허가.xls][9805허가.xls]A___448"/>
      <sheetName val="[9805허가.xls][9805허가.xls]A___447"/>
      <sheetName val="[9805허가.xls][9805허가.xls]A___449"/>
      <sheetName val="[9805허가.xls][9805허가.xls]A___450"/>
      <sheetName val="[9805허가.xls][9805허가.xls]A___451"/>
      <sheetName val="[9805허가.xls][9805허가.xls]A___452"/>
      <sheetName val="[9805허가.xls][9805허가.xls]A___454"/>
      <sheetName val="[9805허가.xls][9805허가.xls]A___453"/>
      <sheetName val="[9805허가.xls][9805허가.xls]A___455"/>
      <sheetName val="[9805허가.xls][9805허가.xls]A___457"/>
      <sheetName val="[9805허가.xls][9805허가.xls]A___456"/>
      <sheetName val="[9805허가.xls][9805허가.xls]A___460"/>
      <sheetName val="[9805허가.xls][9805허가.xls]A___458"/>
      <sheetName val="[9805허가.xls][9805허가.xls]A___459"/>
      <sheetName val="[9805허가.xls][9805허가.xls]A___461"/>
      <sheetName val="[9805허가.xls][9805허가.xls]A___462"/>
      <sheetName val="[9805허가.xls][9805허가.xls]A___463"/>
      <sheetName val="[9805허가.xls][9805허가.xls]A___465"/>
      <sheetName val="[9805허가.xls][9805허가.xls]A___464"/>
      <sheetName val="[9805허가.xls][9805허가.xls]A___466"/>
      <sheetName val="[9805허가.xls][9805허가.xls]A___467"/>
      <sheetName val="[9805허가.xls][9805허가.xls]A___472"/>
      <sheetName val="[9805허가.xls][9805허가.xls]A___470"/>
      <sheetName val="[9805허가.xls][9805허가.xls]A___471"/>
      <sheetName val="[9805허가.xls][9805허가.xls]A___468"/>
      <sheetName val="[9805허가.xls][9805허가.xls]A___469"/>
      <sheetName val="[9805허가.xls][9805허가.xls]A___473"/>
      <sheetName val="[9805허가.xls][9805허가.xls]A___477"/>
      <sheetName val="[9805허가.xls][9805허가.xls]A___475"/>
      <sheetName val="[9805허가.xls][9805허가.xls]A___474"/>
      <sheetName val="[9805허가.xls][9805허가.xls]A___476"/>
      <sheetName val="[9805허가.xls][9805허가.xls]A___479"/>
      <sheetName val="[9805허가.xls][9805허가.xls]A___478"/>
      <sheetName val="[9805허가.xls][9805허가.xls]A___483"/>
      <sheetName val="[9805허가.xls][9805허가.xls]A___480"/>
      <sheetName val="[9805허가.xls][9805허가.xls]A___481"/>
      <sheetName val="[9805허가.xls][9805허가.xls]A___482"/>
      <sheetName val="[9805허가.xls][9805허가.xls]A___484"/>
      <sheetName val="[9805허가.xls][9805허가.xls]A___492"/>
      <sheetName val="[9805허가.xls][9805허가.xls]A___490"/>
      <sheetName val="[9805허가.xls][9805허가.xls]A___486"/>
      <sheetName val="[9805허가.xls][9805허가.xls]A___485"/>
      <sheetName val="[9805허가.xls][9805허가.xls]A___488"/>
      <sheetName val="[9805허가.xls][9805허가.xls]A___487"/>
      <sheetName val="[9805허가.xls][9805허가.xls]A___489"/>
      <sheetName val="[9805허가.xls][9805허가.xls]A___491"/>
      <sheetName val="[9805허가.xls][9805허가.xls]A___493"/>
      <sheetName val="[9805허가.xls][9805허가.xls]A___495"/>
      <sheetName val="[9805허가.xls][9805허가.xls]A___494"/>
      <sheetName val="[9805허가.xls][9805허가.xls]A___496"/>
      <sheetName val="[9805허가.xls][9805허가.xls]A___497"/>
      <sheetName val="[9805허가.xls][9805허가.xls]A___498"/>
      <sheetName val="[9805허가.xls][9805허가.xls]A___499"/>
      <sheetName val="[9805허가.xls][9805허가.xls]A___500"/>
      <sheetName val="__2016__________________20160_2"/>
      <sheetName val="_15_______________15_10_13____2"/>
      <sheetName val="[9805허가.xls][9805허가.xls]A___502"/>
      <sheetName val="[9805허가.xls][9805허가.xls]A___501"/>
      <sheetName val="[9805허가.xls][9805허가.xls]A___503"/>
      <sheetName val="[9805허가.xls][9805허가.xls]A___505"/>
      <sheetName val="[9805허가.xls][9805허가.xls]A___504"/>
      <sheetName val="[9805허가.xls][9805허가.xls]A___508"/>
      <sheetName val="[9805허가.xls][9805허가.xls]A___507"/>
      <sheetName val="[9805허가.xls][9805허가.xls]A___506"/>
      <sheetName val="[9805허가.xls][9805허가.xls]A___509"/>
      <sheetName val="[9805허가.xls][9805허가.xls]A___511"/>
      <sheetName val="[9805허가.xls][9805허가.xls]A___510"/>
      <sheetName val="[9805허가.xls][9805허가.xls]A___512"/>
      <sheetName val="[9805허가.xls][9805허가.xls]A___528"/>
      <sheetName val="[9805허가.xls][9805허가.xls]A___513"/>
      <sheetName val="[9805허가.xls][9805허가.xls]A___514"/>
      <sheetName val="[9805허가.xls][9805허가.xls]A___516"/>
      <sheetName val="[9805허가.xls][9805허가.xls]A___524"/>
      <sheetName val="[9805허가.xls][9805허가.xls]A___515"/>
      <sheetName val="[9805허가.xls][9805허가.xls]A___517"/>
      <sheetName val="[9805허가.xls][9805허가.xls]A___523"/>
      <sheetName val="[9805허가.xls][9805허가.xls]A___521"/>
      <sheetName val="내역서"/>
      <sheetName val="공정집계"/>
      <sheetName val="조명시설"/>
      <sheetName val="[9805허가.xls][9805허가.xls]A___518"/>
      <sheetName val="[9805허가.xls][9805허가.xls]A___519"/>
      <sheetName val="[9805허가.xls][9805허가.xls]A___520"/>
      <sheetName val="[9805허가.xls][9805허가.xls]A___522"/>
      <sheetName val="[9805허가.xls][9805허가.xls]A___525"/>
      <sheetName val="[9805허가.xls][9805허가.xls]A___526"/>
      <sheetName val="[9805허가.xls][9805허가.xls]A___527"/>
      <sheetName val="[9805허가.xls][9805허가.xls]A___530"/>
      <sheetName val="[9805허가.xls][9805허가.xls]A___529"/>
      <sheetName val="[9805허가.xls][9805허가.xls]A___536"/>
      <sheetName val="[9805허가.xls][9805허가.xls]A___544"/>
      <sheetName val="[9805허가.xls][9805허가.xls]A___531"/>
      <sheetName val="[9805허가.xls][9805허가.xls]A___532"/>
      <sheetName val="[9805허가.xls][9805허가.xls]A___533"/>
      <sheetName val="[9805허가.xls][9805허가.xls]A___534"/>
      <sheetName val="[9805허가.xls][9805허가.xls]A___535"/>
      <sheetName val="[9805허가.xls][9805허가.xls]A___537"/>
      <sheetName val="[9805허가.xls][9805허가.xls]A___541"/>
      <sheetName val="[9805허가.xls][9805허가.xls]A___538"/>
      <sheetName val="[9805허가.xls][9805허가.xls]A___539"/>
      <sheetName val="[9805허가.xls][9805허가.xls]A___540"/>
      <sheetName val="[9805허가.xls][9805허가.xls]A___542"/>
      <sheetName val="[9805허가.xls][9805허가.xls]A___543"/>
      <sheetName val="[9805허가.xls][9805허가.xls]A___545"/>
      <sheetName val="[9805허가.xls][9805허가.xls]A___546"/>
      <sheetName val="[9805허가.xls][9805허가.xls]A___550"/>
      <sheetName val="[9805허가.xls][9805허가.xls]A___551"/>
      <sheetName val="[9805허가.xls][9805허가.xls]A___547"/>
      <sheetName val="[9805허가.xls][9805허가.xls]A___548"/>
      <sheetName val="[9805허가.xls][9805허가.xls]A___549"/>
      <sheetName val="[9805허가.xls][9805허가.xls]A___552"/>
      <sheetName val="원가계산서"/>
      <sheetName val="[9805허가.xls][9805허가.xls]A___553"/>
      <sheetName val="[9805허가.xls][9805허가.xls]A___558"/>
      <sheetName val="[9805허가.xls][9805허가.xls]A___555"/>
      <sheetName val="[9805허가.xls][9805허가.xls]A___554"/>
      <sheetName val="[9805허가.xls][9805허가.xls]A___556"/>
      <sheetName val="[9805허가.xls][9805허가.xls]A___557"/>
      <sheetName val="[9805허가.xls][9805허가.xls]A___559"/>
      <sheetName val="[9805허가.xls][9805허가.xls]A___560"/>
      <sheetName val="[9805허가.xls][9805허가.xls]A___564"/>
      <sheetName val="[9805허가.xls][9805허가.xls]A___561"/>
      <sheetName val="[9805허가.xls][9805허가.xls]A___562"/>
      <sheetName val="[9805허가.xls][9805허가.xls]A___563"/>
      <sheetName val="[9805허가.xls][9805허가.xls]A___565"/>
      <sheetName val="[9805허가.xls][9805허가.xls]A___567"/>
      <sheetName val="[9805허가.xls][9805허가.xls]A___566"/>
      <sheetName val="대비"/>
      <sheetName val="전기"/>
      <sheetName val="VCV-BE-TONG"/>
      <sheetName val="1.R18 BF"/>
      <sheetName val="A"/>
      <sheetName val="G"/>
      <sheetName val="F-B"/>
      <sheetName val="H-J"/>
      <sheetName val="6.External works-R18"/>
      <sheetName val="FAB별"/>
      <sheetName val="현장별"/>
      <sheetName val="[9805허가.xls][9805허가.xls]A___568"/>
      <sheetName val="[9805허가.xls]A:_x0000__x0000__x0000__x0000__x0000__x0000_Ā_x0000_ฏȢ"/>
      <sheetName val="[9805허가.xls][9805허가.xls]A___570"/>
      <sheetName val="[9805허가.xls][9805허가.xls]A___569"/>
      <sheetName val="[9805허가.xls][9805허가.xls]A___572"/>
      <sheetName val="[9805허가.xls][9805허가.xls]A___571"/>
      <sheetName val="[9805허가.xls][9805허가.xls]A___573"/>
      <sheetName val="[9805허가.xls][9805허가.xls]A___574"/>
      <sheetName val="[9805허가.xls][9805허가.xls]A___576"/>
      <sheetName val="[9805허가.xls][9805허가.xls]A___575"/>
      <sheetName val="[9805허가.xls][9805허가.xls]A___585"/>
      <sheetName val="[9805허가.xls][9805허가.xls]A___583"/>
      <sheetName val="[9805허가.xls][9805허가.xls]A___577"/>
      <sheetName val="[9805허가.xls][9805허가.xls]A___582"/>
      <sheetName val="[9805허가.xls][9805허가.xls]A___578"/>
      <sheetName val="[9805허가.xls][9805허가.xls]A___579"/>
      <sheetName val="[9805허가.xls][9805허가.xls]A___580"/>
      <sheetName val="[9805허가.xls][9805허가.xls]A___581"/>
      <sheetName val="[9805허가.xls][9805허가.xls]A___584"/>
      <sheetName val="[9805허가.xls][9805허가.xls]A___588"/>
      <sheetName val="[9805허가.xls][9805허가.xls]A___586"/>
      <sheetName val="[9805허가.xls][9805허가.xls]A___587"/>
      <sheetName val="[9805허가.xls][9805허가.xls]A___649"/>
      <sheetName val="[9805허가.xls][9805허가.xls]A___651"/>
      <sheetName val="[9805허가.xls][9805허가.xls]A___589"/>
      <sheetName val="[9805허가.xls][9805허가.xls]A___590"/>
      <sheetName val="[9805허가.xls][9805허가.xls]A___591"/>
      <sheetName val="[9805허가.xls][9805허가.xls]A___594"/>
      <sheetName val="[9805허가.xls][9805허가.xls]A___593"/>
      <sheetName val="[9805허가.xls][9805허가.xls]A___592"/>
      <sheetName val="[9805허가.xls][9805허가.xls]A___597"/>
      <sheetName val="[9805허가.xls][9805허가.xls]A___596"/>
      <sheetName val="[9805허가.xls][9805허가.xls]A___595"/>
      <sheetName val="[9805허가.xls][9805허가.xls]A___599"/>
      <sheetName val="[9805허가.xls][9805허가.xls]A___598"/>
      <sheetName val="[9805허가.xls][9805허가.xls]A___608"/>
      <sheetName val="[9805허가.xls][9805허가.xls]A___601"/>
      <sheetName val="[9805허가.xls][9805허가.xls]A___600"/>
      <sheetName val="[9805허가.xls][9805허가.xls]A___602"/>
      <sheetName val="[9805허가.xls][9805허가.xls]A___603"/>
      <sheetName val="[9805허가.xls][9805허가.xls]A___605"/>
      <sheetName val="[9805허가.xls][9805허가.xls]A___604"/>
      <sheetName val="[9805허가.xls][9805허가.xls]A___606"/>
      <sheetName val="[9805허가.xls]A:_x0000__x0000__x0000__x0000_Ā_x0000__x0000__x0000__x0005__x0000__x0000_"/>
      <sheetName val="[9805허가.xls][9805허가.xls]A___607"/>
      <sheetName val="[9805허가.xls][9805허가.xls]A___609"/>
      <sheetName val="[9805허가.xls][9805허가.xls]A___610"/>
      <sheetName val="[9805허가.xls][9805허가.xls]A___612"/>
      <sheetName val="[9805허가.xls][9805허가.xls]A___611"/>
      <sheetName val="[9805허가.xls][9805허가.xls]A___613"/>
      <sheetName val="[9805허가.xls][9805허가.xls]A___614"/>
      <sheetName val="[9805허가.xls][9805허가.xls]A___618"/>
      <sheetName val="[9805허가.xls][9805허가.xls]A___617"/>
      <sheetName val="[9805허가.xls][9805허가.xls]A___615"/>
      <sheetName val="[9805허가.xls][9805허가.xls]A___616"/>
      <sheetName val="[9805허가.xls][9805허가.xls]A___620"/>
      <sheetName val="[9805허가.xls][9805허가.xls]A___619"/>
      <sheetName val="[9805허가.xls][9805허가.xls]A___627"/>
      <sheetName val="[9805허가.xls][9805허가.xls]A___622"/>
      <sheetName val="[9805허가.xls][9805허가.xls]A___621"/>
      <sheetName val="[9805허가.xls][9805허가.xls]A___626"/>
      <sheetName val="[9805허가.xls][9805허가.xls]A___624"/>
      <sheetName val="[9805허가.xls][9805허가.xls]A___623"/>
      <sheetName val="[9805허가.xls][9805허가.xls]A___625"/>
      <sheetName val="[9805허가.xls][9805허가.xls]A___628"/>
      <sheetName val="[9805허가.xls]A:_x0000__x0000__x0000__x0000__x0000__x0000_Ā_x0000_ᦰ줖Ȋ"/>
      <sheetName val="[9805허가.xls]A:_x0000__x0000__x0000__x0000__x0000__x0000_Ā_x0000_줘Ȋ"/>
      <sheetName val="[9805허가.xls][9805허가.xls]A___630"/>
      <sheetName val="[9805허가.xls][9805허가.xls]A___629"/>
      <sheetName val="[9805허가.xls][9805허가.xls]A___631"/>
      <sheetName val="[9805허가.xls][9805허가.xls]A___632"/>
      <sheetName val="[9805허가.xls][9805허가.xls]A___634"/>
      <sheetName val="[9805허가.xls][9805허가.xls]A___633"/>
      <sheetName val="[9805허가.xls][9805허가.xls]A___637"/>
      <sheetName val="[9805허가.xls][9805허가.xls]A___635"/>
      <sheetName val="[9805허가.xls][9805허가.xls]A___636"/>
      <sheetName val="[9805허가.xls][9805허가.xls]A___638"/>
      <sheetName val="[9805허가.xls][9805허가.xls]A___641"/>
      <sheetName val="[9805허가.xls][9805허가.xls]A___639"/>
      <sheetName val="[9805허가.xls][9805허가.xls]A___640"/>
      <sheetName val="[9805허가.xls][9805허가.xls]A___642"/>
      <sheetName val="[9805허가.xls][9805허가.xls]A___643"/>
      <sheetName val="[9805허가.xls][9805허가.xls]A___648"/>
      <sheetName val="[9805허가.xls][9805허가.xls]A___647"/>
      <sheetName val="[9805허가.xls][9805허가.xls]A___644"/>
      <sheetName val="[9805허가.xls][9805허가.xls]A___646"/>
      <sheetName val="[9805허가.xls][9805허가.xls]A___645"/>
      <sheetName val="[9805허가.xls][9805허가.xls]A___650"/>
      <sheetName val="[9805허가.xls][9805허가.xls]A___659"/>
      <sheetName val="[9805허가.xls][9805허가.xls]A___652"/>
      <sheetName val="[9805허가.xls][9805허가.xls]A___653"/>
      <sheetName val="[9805허가.xls][9805허가.xls]A___654"/>
      <sheetName val="[9805허가.xls][9805허가.xls]A___655"/>
      <sheetName val="[9805허가.xls][9805허가.xls]A___656"/>
      <sheetName val="[9805허가.xls][9805허가.xls]A___657"/>
      <sheetName val="[9805허가.xls][9805허가.xls]A___658"/>
      <sheetName val="[9805허가.xls][9805허가.xls]A___660"/>
      <sheetName val="[9805허가.xls][9805허가.xls]A___670"/>
      <sheetName val="[9805허가.xls][9805허가.xls]A___669"/>
      <sheetName val="[9805허가.xls][9805허가.xls]A___665"/>
      <sheetName val="[9805허가.xls][9805허가.xls]A___662"/>
      <sheetName val="[9805허가.xls][9805허가.xls]A___661"/>
      <sheetName val="[9805허가.xls][9805허가.xls]A___663"/>
      <sheetName val="[9805허가.xls][9805허가.xls]A___664"/>
      <sheetName val="[9805허가.xls][9805허가.xls]A___666"/>
      <sheetName val="[9805허가.xls][9805허가.xls]A___667"/>
      <sheetName val="[9805허가.xls][9805허가.xls]A___668"/>
      <sheetName val="[9805허가.xls][9805허가.xls]A___674"/>
      <sheetName val="[9805허가.xls][9805허가.xls]A___673"/>
      <sheetName val="[9805허가.xls][9805허가.xls]A___671"/>
      <sheetName val="[9805허가.xls][9805허가.xls]A___672"/>
      <sheetName val="[9805허가.xls][9805허가.xls]A___677"/>
      <sheetName val="[9805허가.xls][9805허가.xls]A___675"/>
      <sheetName val="[9805허가.xls][9805허가.xls]A___679"/>
      <sheetName val="[9805허가.xls][9805허가.xls]A___676"/>
      <sheetName val="[9805허가.xls][9805허가.xls]A___678"/>
      <sheetName val="[9805허가.xls][9805허가.xls]A___683"/>
      <sheetName val="[9805허가.xls][9805허가.xls]A___680"/>
      <sheetName val="[9805허가.xls][9805허가.xls]A___681"/>
      <sheetName val="[9805허가.xls][9805허가.xls]A___682"/>
      <sheetName val="[9805허가.xls][9805허가.xls]A___684"/>
      <sheetName val="[9805허가.xls][9805허가.xls]A___685"/>
      <sheetName val="[9805허가.xls][9805허가.xls]A___687"/>
      <sheetName val="[9805허가.xls][9805허가.xls]A___686"/>
      <sheetName val="[9805허가.xls][9805허가.xls]A___690"/>
      <sheetName val="[9805허가.xls][9805허가.xls]A___688"/>
      <sheetName val="[9805허가.xls][9805허가.xls]A___689"/>
      <sheetName val="[9805허가.xls][9805허가.xls]A___695"/>
      <sheetName val="[9805허가.xls][9805허가.xls]A___694"/>
      <sheetName val="[9805허가.xls][9805허가.xls]A___691"/>
      <sheetName val="[9805허가.xls][9805허가.xls]A___692"/>
      <sheetName val="[9805허가.xls][9805허가.xls]A___693"/>
      <sheetName val="[9805허가.xls][9805허가.xls]A___696"/>
      <sheetName val="[9805허가.xls][9805허가.xls]A___697"/>
      <sheetName val="[9805허가.xls][9805허가.xls]A___698"/>
      <sheetName val="[9805허가.xls][9805허가.xls]A___699"/>
      <sheetName val="[9805허가.xls][9805허가.xls]A___700"/>
      <sheetName val="[9805허가.xls][9805허가.xls]A___701"/>
      <sheetName val="[9805허가.xls][9805허가.xls]A___703"/>
      <sheetName val="[9805허가.xls][9805허가.xls]A___702"/>
      <sheetName val="[9805허가.xls][9805허가.xls]A___704"/>
      <sheetName val="[9805허가.xls][9805허가.xls]A___705"/>
      <sheetName val="[9805허가.xls][9805허가.xls]A___708"/>
      <sheetName val="[9805허가.xls][9805허가.xls]A___706"/>
      <sheetName val="[9805허가.xls][9805허가.xls]A___707"/>
      <sheetName val="[9805허가.xls][9805허가.xls]A___709"/>
      <sheetName val="[9805허가.xls][9805허가.xls]A___712"/>
      <sheetName val="[9805허가.xls][9805허가.xls]A___710"/>
      <sheetName val="[9805허가.xls][9805허가.xls]A___711"/>
      <sheetName val="[9805허가.xls][9805허가.xls]A___714"/>
      <sheetName val="[9805허가.xls][9805허가.xls]A___713"/>
      <sheetName val="[9805허가.xls][9805허가.xls]A___715"/>
      <sheetName val="[9805허가.xls][9805허가.xls]A___716"/>
      <sheetName val="[9805허가.xls][9805허가.xls]A___718"/>
      <sheetName val="[9805허가.xls][9805허가.xls]A___717"/>
      <sheetName val="[9805허가.xls][9805허가.xls]A___719"/>
      <sheetName val="[9805허가.xls][9805허가.xls]A___722"/>
      <sheetName val="[9805허가.xls][9805허가.xls]A___723"/>
      <sheetName val="[9805허가.xls][9805허가.xls]A___720"/>
      <sheetName val="[9805허가.xls][9805허가.xls]A___721"/>
      <sheetName val="[9805허가.xls][9805허가.xls]A___724"/>
      <sheetName val="[9805허가.xls][9805허가.xls]A___733"/>
      <sheetName val="[9805허가.xls][9805허가.xls]A___726"/>
      <sheetName val="[9805허가.xls][9805허가.xls]A___725"/>
      <sheetName val="[9805허가.xls][9805허가.xls]A___730"/>
      <sheetName val="[9805허가.xls][9805허가.xls]A___729"/>
      <sheetName val="[9805허가.xls][9805허가.xls]A___727"/>
      <sheetName val="[9805허가.xls][9805허가.xls]A___728"/>
      <sheetName val="[9805허가.xls][9805허가.xls]A___731"/>
      <sheetName val="[9805허가.xls][9805허가.xls]A___732"/>
      <sheetName val="[9805허가.xls][9805허가.xls]A___735"/>
      <sheetName val="[9805허가.xls][9805허가.xls]A___734"/>
      <sheetName val="[9805허가.xls][9805허가.xls]A___736"/>
      <sheetName val="[9805허가.xls][9805허가.xls]A___737"/>
      <sheetName val="[9805허가.xls][9805허가.xls]A___738"/>
      <sheetName val="[9805허가.xls][9805허가.xls]A___739"/>
      <sheetName val="[9805허가.xls][9805허가.xls]A___744"/>
      <sheetName val="[9805허가.xls][9805허가.xls]A___742"/>
      <sheetName val="[9805허가.xls][9805허가.xls]A___740"/>
      <sheetName val="[9805허가.xls][9805허가.xls]A___741"/>
      <sheetName val="[9805허가.xls][9805허가.xls]A___743"/>
      <sheetName val="[9805허가.xls][9805허가.xls]A___750"/>
      <sheetName val="[9805허가.xls][9805허가.xls]A___747"/>
      <sheetName val="[9805허가.xls][9805허가.xls]A___745"/>
      <sheetName val="[9805허가.xls][9805허가.xls]A___746"/>
      <sheetName val="[9805허가.xls][9805허가.xls]A___748"/>
      <sheetName val="[9805허가.xls][9805허가.xls]A___749"/>
      <sheetName val="[9805허가.xls][9805허가.xls]A___751"/>
      <sheetName val="[9805허가.xls][9805허가.xls]A___752"/>
      <sheetName val="[9805허가.xls][9805허가.xls]A___754"/>
      <sheetName val="[9805허가.xls][9805허가.xls]A___753"/>
      <sheetName val="[9805허가.xls][9805허가.xls]A___757"/>
      <sheetName val="[9805허가.xls][9805허가.xls]A___755"/>
      <sheetName val="[9805허가.xls][9805허가.xls]A___756"/>
      <sheetName val="[9805허가.xls][9805허가.xls]A___758"/>
      <sheetName val="[9805허가.xls][9805허가.xls]A___762"/>
      <sheetName val="[9805허가.xls][9805허가.xls]A___760"/>
      <sheetName val="[9805허가.xls][9805허가.xls]A___759"/>
      <sheetName val="[9805허가.xls][9805허가.xls]A___761"/>
      <sheetName val="[9805허가.xls][9805허가.xls]A___763"/>
      <sheetName val="[9805허가.xls][9805허가.xls]A___764"/>
      <sheetName val="[9805허가.xls][9805허가.xls]A___765"/>
      <sheetName val="[9805허가.xls][9805허가.xls]A___766"/>
      <sheetName val="[9805허가.xls][9805허가.xls]A___771"/>
      <sheetName val="[9805허가.xls][9805허가.xls]A___770"/>
      <sheetName val="[9805허가.xls][9805허가.xls]A___767"/>
      <sheetName val="[9805허가.xls][9805허가.xls]A___768"/>
      <sheetName val="[9805허가.xls][9805허가.xls]A___769"/>
      <sheetName val="[9805허가.xls][9805허가.xls]A___772"/>
      <sheetName val="[9805허가.xls][9805허가.xls]A___777"/>
      <sheetName val="[9805허가.xls][9805허가.xls]A___775"/>
      <sheetName val="[9805허가.xls][9805허가.xls]A___773"/>
      <sheetName val="[9805허가.xls][9805허가.xls]A___774"/>
      <sheetName val="[9805허가.xls][9805허가.xls]A___776"/>
      <sheetName val="[9805허가.xls][9805허가.xls]A___779"/>
      <sheetName val="[9805허가.xls][9805허가.xls]A___778"/>
      <sheetName val="[9805허가.xls][9805허가.xls]A___780"/>
      <sheetName val="[9805허가.xls][9805허가.xls]A___784"/>
      <sheetName val="[9805허가.xls][9805허가.xls]A___781"/>
      <sheetName val="[9805허가.xls][9805허가.xls]A___782"/>
      <sheetName val="[9805허가.xls][9805허가.xls]A___783"/>
      <sheetName val="[9805허가.xls][9805허가.xls]A___789"/>
      <sheetName val="[9805허가.xls][9805허가.xls]A___785"/>
      <sheetName val="[9805허가.xls][9805허가.xls]A___787"/>
      <sheetName val="[9805허가.xls][9805허가.xls]A___786"/>
      <sheetName val="[9805허가.xls][9805허가.xls]A___788"/>
      <sheetName val="[9805허가.xls][9805허가.xls]A___790"/>
      <sheetName val="[9805허가.xls][9805허가.xls]A___791"/>
      <sheetName val="[9805허가.xls][9805허가.xls]A___793"/>
      <sheetName val="[9805허가.xls][9805허가.xls]A___792"/>
      <sheetName val="[9805허가.xls][9805허가.xls]A___794"/>
      <sheetName val="[9805허가.xls][9805허가.xls]A___796"/>
      <sheetName val="[9805허가.xls][9805허가.xls]A___795"/>
      <sheetName val="[9805허가.xls][9805허가.xls]A___797"/>
      <sheetName val="[9805허가.xls][9805허가.xls]A___798"/>
      <sheetName val="[9805허가.xls][9805허가.xls]A___799"/>
      <sheetName val="[9805허가.xls][9805허가.xls]A___802"/>
      <sheetName val="[9805허가.xls][9805허가.xls]A___800"/>
      <sheetName val="[9805허가.xls][9805허가.xls]A___801"/>
      <sheetName val="[9805허가.xls][9805허가.xls]A___803"/>
      <sheetName val="[9805허가.xls][9805허가.xls]A___804"/>
      <sheetName val="[9805허가.xls][9805허가.xls]A___808"/>
      <sheetName val="[9805허가.xls][9805허가.xls]A___805"/>
      <sheetName val="[9805허가.xls][9805허가.xls]A___806"/>
      <sheetName val="[9805허가.xls][9805허가.xls]A___807"/>
      <sheetName val="[9805허가.xls][9805허가.xls]A___809"/>
      <sheetName val="[9805허가.xls][9805허가.xls]A___811"/>
      <sheetName val="[9805허가.xls][9805허가.xls]A___810"/>
      <sheetName val="[9805허가.xls][9805허가.xls]A___812"/>
      <sheetName val="[9805허가.xls][9805허가.xls]A___814"/>
      <sheetName val="[9805허가.xls][9805허가.xls]A___813"/>
      <sheetName val="[9805허가.xls][9805허가.xls]A___815"/>
      <sheetName val="[9805허가.xls][9805허가.xls]A___816"/>
      <sheetName val="[9805허가.xls][9805허가.xls]A___817"/>
      <sheetName val="[9805허가.xls][9805허가.xls]A___818"/>
      <sheetName val="[9805허가.xls][9805허가.xls]A___820"/>
      <sheetName val="[9805허가.xls][9805허가.xls]A___819"/>
      <sheetName val="[9805허가.xls][9805허가.xls]A___822"/>
      <sheetName val="[9805허가.xls][9805허가.xls]A___821"/>
      <sheetName val="[9805허가.xls][9805허가.xls]A___823"/>
      <sheetName val="[9805허가.xls][9805허가.xls]A___824"/>
      <sheetName val="[9805허가.xls][9805허가.xls]A___828"/>
      <sheetName val="[9805허가.xls][9805허가.xls]A___827"/>
      <sheetName val="[9805허가.xls][9805허가.xls]A___825"/>
      <sheetName val="[9805허가.xls][9805허가.xls]A___826"/>
      <sheetName val="[9805허가.xls][9805허가.xls]A___829"/>
      <sheetName val="[9805허가.xls][9805허가.xls]A___830"/>
      <sheetName val="[9805허가.xls][9805허가.xls]A___831"/>
      <sheetName val="[9805허가.xls][9805허가.xls]A___832"/>
      <sheetName val="[9805허가.xls][9805허가.xls]A___833"/>
      <sheetName val="[9805허가.xls][9805허가.xls]A___834"/>
      <sheetName val="[9805허가.xls][9805허가.xls]A___835"/>
      <sheetName val="[9805허가.xls][9805허가.xls]A___836"/>
      <sheetName val="[9805허가.xls][9805허가.xls]A___837"/>
      <sheetName val="[9805허가.xls][9805허가.xls]A___838"/>
      <sheetName val="[9805허가.xls][9805허가.xls]A___840"/>
      <sheetName val="[9805허가.xls][9805허가.xls]A___839"/>
      <sheetName val="[9805허가.xls][9805허가.xls]A___842"/>
      <sheetName val="[9805허가.xls][9805허가.xls]A___841"/>
      <sheetName val="[9805허가.xls][9805허가.xls]A___844"/>
      <sheetName val="[9805허가.xls][9805허가.xls]A___843"/>
      <sheetName val="[9805허가.xls][9805허가.xls]A___845"/>
      <sheetName val="[9805허가.xls][9805허가.xls]A___850"/>
      <sheetName val="[9805허가.xls][9805허가.xls]A___848"/>
      <sheetName val="[9805허가.xls][9805허가.xls]A___847"/>
      <sheetName val="[9805허가.xls][9805허가.xls]A___846"/>
      <sheetName val="[9805허가.xls][9805허가.xls]A___849"/>
      <sheetName val="[9805허가.xls][9805허가.xls]A___854"/>
      <sheetName val="[9805허가.xls][9805허가.xls]A___852"/>
      <sheetName val="[9805허가.xls][9805허가.xls]A___851"/>
      <sheetName val="[9805허가.xls][9805허가.xls]A___853"/>
      <sheetName val="[9805허가.xls][9805허가.xls]A___856"/>
      <sheetName val="[9805허가.xls][9805허가.xls]A___855"/>
      <sheetName val="[9805허가.xls][9805허가.xls]A___857"/>
      <sheetName val="[9805허가.xls][9805허가.xls]A___858"/>
      <sheetName val="[9805허가.xls][9805허가.xls]A___861"/>
      <sheetName val="[9805허가.xls][9805허가.xls]A___860"/>
      <sheetName val="[9805허가.xls][9805허가.xls]A___859"/>
      <sheetName val="[9805허가.xls][9805허가.xls]A___862"/>
      <sheetName val="[9805허가.xls][9805허가.xls]A___863"/>
      <sheetName val="[9805허가.xls][9805허가.xls]A___866"/>
      <sheetName val="[9805허가.xls][9805허가.xls]A___864"/>
      <sheetName val="[9805허가.xls][9805허가.xls]A___865"/>
      <sheetName val="[9805허가.xls][9805허가.xls]A___867"/>
      <sheetName val="[9805허가.xls][9805허가.xls]A___868"/>
      <sheetName val="[9805허가.xls][9805허가.xls]A___869"/>
      <sheetName val="[9805허가.xls][9805허가.xls]A___871"/>
      <sheetName val="[9805허가.xls][9805허가.xls]A___875"/>
      <sheetName val="[9805허가.xls][9805허가.xls]A___870"/>
      <sheetName val="[9805허가.xls][9805허가.xls]A___872"/>
      <sheetName val="[9805허가.xls][9805허가.xls]A___873"/>
      <sheetName val="[9805허가.xls][9805허가.xls]A___874"/>
      <sheetName val="[9805허가.xls][9805허가.xls]A___876"/>
      <sheetName val="[9805허가.xls][9805허가.xls]A___879"/>
      <sheetName val="[9805허가.xls][9805허가.xls]A___878"/>
      <sheetName val="[9805허가.xls][9805허가.xls]A___877"/>
      <sheetName val="[9805허가.xls][9805허가.xls]A___880"/>
      <sheetName val="[9805허가.xls][9805허가.xls]A___883"/>
      <sheetName val="[9805허가.xls][9805허가.xls]A___881"/>
      <sheetName val="[9805허가.xls][9805허가.xls]A___882"/>
      <sheetName val="[9805허가.xls][9805허가.xls]A___884"/>
      <sheetName val="[9805허가.xls][9805허가.xls]A___887"/>
      <sheetName val="[9805허가.xls][9805허가.xls]A___885"/>
      <sheetName val="[9805허가.xls][9805허가.xls]A___886"/>
    </sheetNames>
    <sheetDataSet>
      <sheetData sheetId="0"/>
      <sheetData sheetId="1">
        <row r="4">
          <cell r="D4">
            <v>17609</v>
          </cell>
        </row>
      </sheetData>
      <sheetData sheetId="2">
        <row r="4">
          <cell r="D4">
            <v>17609</v>
          </cell>
        </row>
      </sheetData>
      <sheetData sheetId="3">
        <row r="4">
          <cell r="D4">
            <v>17609</v>
          </cell>
        </row>
      </sheetData>
      <sheetData sheetId="4">
        <row r="4">
          <cell r="D4">
            <v>17609</v>
          </cell>
        </row>
      </sheetData>
      <sheetData sheetId="5">
        <row r="4">
          <cell r="D4">
            <v>17609</v>
          </cell>
        </row>
      </sheetData>
      <sheetData sheetId="6">
        <row r="4">
          <cell r="D4">
            <v>17609</v>
          </cell>
        </row>
      </sheetData>
      <sheetData sheetId="7">
        <row r="4">
          <cell r="D4">
            <v>17609</v>
          </cell>
        </row>
      </sheetData>
      <sheetData sheetId="8">
        <row r="4">
          <cell r="D4">
            <v>17609</v>
          </cell>
        </row>
      </sheetData>
      <sheetData sheetId="9">
        <row r="4">
          <cell r="D4">
            <v>17609</v>
          </cell>
        </row>
      </sheetData>
      <sheetData sheetId="10">
        <row r="4">
          <cell r="D4">
            <v>17609</v>
          </cell>
        </row>
      </sheetData>
      <sheetData sheetId="11">
        <row r="4">
          <cell r="D4">
            <v>17609</v>
          </cell>
        </row>
      </sheetData>
      <sheetData sheetId="12" refreshError="1"/>
      <sheetData sheetId="13" refreshError="1">
        <row r="4">
          <cell r="D4">
            <v>17609</v>
          </cell>
        </row>
        <row r="5">
          <cell r="D5">
            <v>21024</v>
          </cell>
        </row>
        <row r="6">
          <cell r="D6">
            <v>26344</v>
          </cell>
        </row>
        <row r="7">
          <cell r="D7">
            <v>30634</v>
          </cell>
        </row>
        <row r="8">
          <cell r="D8">
            <v>41107</v>
          </cell>
        </row>
        <row r="9">
          <cell r="D9">
            <v>45493</v>
          </cell>
        </row>
        <row r="10">
          <cell r="D10">
            <v>46124</v>
          </cell>
        </row>
        <row r="11">
          <cell r="D11">
            <v>39933</v>
          </cell>
        </row>
        <row r="12">
          <cell r="D12">
            <v>48491</v>
          </cell>
        </row>
        <row r="13">
          <cell r="D13">
            <v>52834</v>
          </cell>
        </row>
        <row r="14">
          <cell r="D14">
            <v>54714</v>
          </cell>
        </row>
        <row r="15">
          <cell r="D15">
            <v>52757</v>
          </cell>
        </row>
        <row r="16">
          <cell r="D16">
            <v>50697</v>
          </cell>
        </row>
      </sheetData>
      <sheetData sheetId="14">
        <row r="4">
          <cell r="D4">
            <v>17609</v>
          </cell>
        </row>
      </sheetData>
      <sheetData sheetId="15">
        <row r="4">
          <cell r="D4">
            <v>17609</v>
          </cell>
        </row>
      </sheetData>
      <sheetData sheetId="16">
        <row r="4">
          <cell r="D4">
            <v>17609</v>
          </cell>
        </row>
      </sheetData>
      <sheetData sheetId="17">
        <row r="4">
          <cell r="D4">
            <v>17609</v>
          </cell>
        </row>
      </sheetData>
      <sheetData sheetId="18">
        <row r="4">
          <cell r="D4">
            <v>17609</v>
          </cell>
        </row>
      </sheetData>
      <sheetData sheetId="19">
        <row r="4">
          <cell r="D4">
            <v>17609</v>
          </cell>
        </row>
      </sheetData>
      <sheetData sheetId="20">
        <row r="4">
          <cell r="D4">
            <v>17609</v>
          </cell>
        </row>
      </sheetData>
      <sheetData sheetId="21">
        <row r="4">
          <cell r="D4">
            <v>17609</v>
          </cell>
        </row>
      </sheetData>
      <sheetData sheetId="22">
        <row r="4">
          <cell r="D4">
            <v>17609</v>
          </cell>
        </row>
      </sheetData>
      <sheetData sheetId="23">
        <row r="4">
          <cell r="D4">
            <v>17609</v>
          </cell>
        </row>
      </sheetData>
      <sheetData sheetId="24">
        <row r="4">
          <cell r="D4">
            <v>17609</v>
          </cell>
        </row>
      </sheetData>
      <sheetData sheetId="25">
        <row r="4">
          <cell r="D4">
            <v>17609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 refreshError="1"/>
      <sheetData sheetId="439" refreshError="1"/>
      <sheetData sheetId="440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 refreshError="1"/>
      <sheetData sheetId="450" refreshError="1"/>
      <sheetData sheetId="451"/>
      <sheetData sheetId="452" refreshError="1"/>
      <sheetData sheetId="453" refreshError="1"/>
      <sheetData sheetId="454" refreshError="1"/>
      <sheetData sheetId="455"/>
      <sheetData sheetId="456" refreshError="1"/>
      <sheetData sheetId="457"/>
      <sheetData sheetId="458"/>
      <sheetData sheetId="459" refreshError="1"/>
      <sheetData sheetId="460" refreshError="1"/>
      <sheetData sheetId="461" refreshError="1"/>
      <sheetData sheetId="462"/>
      <sheetData sheetId="463" refreshError="1"/>
      <sheetData sheetId="464" refreshError="1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 refreshError="1"/>
      <sheetData sheetId="492" refreshError="1"/>
      <sheetData sheetId="493"/>
      <sheetData sheetId="494" refreshError="1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/>
      <sheetData sheetId="502"/>
      <sheetData sheetId="503" refreshError="1"/>
      <sheetData sheetId="504" refreshError="1"/>
      <sheetData sheetId="505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 refreshError="1"/>
      <sheetData sheetId="515" refreshError="1"/>
      <sheetData sheetId="516"/>
      <sheetData sheetId="517"/>
      <sheetData sheetId="518"/>
      <sheetData sheetId="519" refreshError="1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 refreshError="1"/>
      <sheetData sheetId="528"/>
      <sheetData sheetId="529" refreshError="1"/>
      <sheetData sheetId="530"/>
      <sheetData sheetId="531" refreshError="1"/>
      <sheetData sheetId="532"/>
      <sheetData sheetId="533"/>
      <sheetData sheetId="534" refreshError="1"/>
      <sheetData sheetId="535" refreshError="1"/>
      <sheetData sheetId="536"/>
      <sheetData sheetId="537"/>
      <sheetData sheetId="538"/>
      <sheetData sheetId="539"/>
      <sheetData sheetId="540" refreshError="1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 refreshError="1"/>
      <sheetData sheetId="556"/>
      <sheetData sheetId="557"/>
      <sheetData sheetId="558"/>
      <sheetData sheetId="559"/>
      <sheetData sheetId="560"/>
      <sheetData sheetId="561"/>
      <sheetData sheetId="562" refreshError="1"/>
      <sheetData sheetId="563"/>
      <sheetData sheetId="564"/>
      <sheetData sheetId="565"/>
      <sheetData sheetId="566"/>
      <sheetData sheetId="567"/>
      <sheetData sheetId="568" refreshError="1"/>
      <sheetData sheetId="569"/>
      <sheetData sheetId="570"/>
      <sheetData sheetId="571" refreshError="1"/>
      <sheetData sheetId="572"/>
      <sheetData sheetId="573"/>
      <sheetData sheetId="574" refreshError="1"/>
      <sheetData sheetId="575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 refreshError="1"/>
      <sheetData sheetId="583"/>
      <sheetData sheetId="584" refreshError="1"/>
      <sheetData sheetId="585" refreshError="1"/>
      <sheetData sheetId="586"/>
      <sheetData sheetId="587" refreshError="1"/>
      <sheetData sheetId="588"/>
      <sheetData sheetId="589" refreshError="1"/>
      <sheetData sheetId="590"/>
      <sheetData sheetId="591"/>
      <sheetData sheetId="592" refreshError="1"/>
      <sheetData sheetId="593"/>
      <sheetData sheetId="594" refreshError="1"/>
      <sheetData sheetId="595" refreshError="1"/>
      <sheetData sheetId="596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 refreshError="1"/>
      <sheetData sheetId="630"/>
      <sheetData sheetId="631"/>
      <sheetData sheetId="632"/>
      <sheetData sheetId="633" refreshError="1"/>
      <sheetData sheetId="634"/>
      <sheetData sheetId="635"/>
      <sheetData sheetId="636"/>
      <sheetData sheetId="637"/>
      <sheetData sheetId="638" refreshError="1"/>
      <sheetData sheetId="639"/>
      <sheetData sheetId="640"/>
      <sheetData sheetId="641" refreshError="1"/>
      <sheetData sheetId="642" refreshError="1"/>
      <sheetData sheetId="643"/>
      <sheetData sheetId="644"/>
      <sheetData sheetId="645"/>
      <sheetData sheetId="646" refreshError="1"/>
      <sheetData sheetId="647" refreshError="1"/>
      <sheetData sheetId="648" refreshError="1"/>
      <sheetData sheetId="649"/>
      <sheetData sheetId="650"/>
      <sheetData sheetId="651"/>
      <sheetData sheetId="652" refreshError="1"/>
      <sheetData sheetId="653" refreshError="1"/>
      <sheetData sheetId="654"/>
      <sheetData sheetId="655"/>
      <sheetData sheetId="656"/>
      <sheetData sheetId="657"/>
      <sheetData sheetId="658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 refreshError="1"/>
      <sheetData sheetId="684" refreshError="1"/>
      <sheetData sheetId="685"/>
      <sheetData sheetId="686"/>
      <sheetData sheetId="687"/>
      <sheetData sheetId="688"/>
      <sheetData sheetId="689" refreshError="1"/>
      <sheetData sheetId="690"/>
      <sheetData sheetId="691"/>
      <sheetData sheetId="692"/>
      <sheetData sheetId="693"/>
      <sheetData sheetId="694"/>
      <sheetData sheetId="695" refreshError="1"/>
      <sheetData sheetId="696" refreshError="1"/>
      <sheetData sheetId="697" refreshError="1"/>
      <sheetData sheetId="698" refreshError="1"/>
      <sheetData sheetId="699"/>
      <sheetData sheetId="700"/>
      <sheetData sheetId="701" refreshError="1"/>
      <sheetData sheetId="702" refreshError="1"/>
      <sheetData sheetId="703" refreshError="1"/>
      <sheetData sheetId="704"/>
      <sheetData sheetId="705" refreshError="1"/>
      <sheetData sheetId="706" refreshError="1"/>
      <sheetData sheetId="707"/>
      <sheetData sheetId="708"/>
      <sheetData sheetId="709"/>
      <sheetData sheetId="710"/>
      <sheetData sheetId="711" refreshError="1"/>
      <sheetData sheetId="712"/>
      <sheetData sheetId="713"/>
      <sheetData sheetId="714"/>
      <sheetData sheetId="715"/>
      <sheetData sheetId="716"/>
      <sheetData sheetId="717"/>
      <sheetData sheetId="718"/>
      <sheetData sheetId="719" refreshError="1"/>
      <sheetData sheetId="720" refreshError="1"/>
      <sheetData sheetId="721" refreshError="1"/>
      <sheetData sheetId="722"/>
      <sheetData sheetId="723" refreshError="1"/>
      <sheetData sheetId="724"/>
      <sheetData sheetId="725"/>
      <sheetData sheetId="726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/>
      <sheetData sheetId="733" refreshError="1"/>
      <sheetData sheetId="734"/>
      <sheetData sheetId="735" refreshError="1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/>
      <sheetData sheetId="744" refreshError="1"/>
      <sheetData sheetId="745"/>
      <sheetData sheetId="746"/>
      <sheetData sheetId="747" refreshError="1"/>
      <sheetData sheetId="748"/>
      <sheetData sheetId="749"/>
      <sheetData sheetId="750"/>
      <sheetData sheetId="751"/>
      <sheetData sheetId="752"/>
      <sheetData sheetId="753" refreshError="1"/>
      <sheetData sheetId="754" refreshError="1"/>
      <sheetData sheetId="755" refreshError="1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 refreshError="1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 refreshError="1"/>
      <sheetData sheetId="798"/>
      <sheetData sheetId="799"/>
      <sheetData sheetId="800"/>
      <sheetData sheetId="801"/>
      <sheetData sheetId="802"/>
      <sheetData sheetId="803"/>
      <sheetData sheetId="804" refreshError="1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/>
      <sheetData sheetId="825" refreshError="1"/>
      <sheetData sheetId="826" refreshError="1"/>
      <sheetData sheetId="827"/>
      <sheetData sheetId="828"/>
      <sheetData sheetId="829"/>
      <sheetData sheetId="830" refreshError="1"/>
      <sheetData sheetId="831" refreshError="1"/>
      <sheetData sheetId="832" refreshError="1"/>
      <sheetData sheetId="833"/>
      <sheetData sheetId="834" refreshError="1"/>
      <sheetData sheetId="835" refreshError="1"/>
      <sheetData sheetId="836" refreshError="1"/>
      <sheetData sheetId="837"/>
      <sheetData sheetId="838"/>
      <sheetData sheetId="839"/>
      <sheetData sheetId="840"/>
      <sheetData sheetId="841"/>
      <sheetData sheetId="842"/>
      <sheetData sheetId="843"/>
      <sheetData sheetId="844" refreshError="1"/>
      <sheetData sheetId="845" refreshError="1"/>
      <sheetData sheetId="846" refreshError="1"/>
      <sheetData sheetId="847" refreshError="1"/>
      <sheetData sheetId="848"/>
      <sheetData sheetId="849" refreshError="1"/>
      <sheetData sheetId="850"/>
      <sheetData sheetId="851" refreshError="1"/>
      <sheetData sheetId="852" refreshError="1"/>
      <sheetData sheetId="853"/>
      <sheetData sheetId="854" refreshError="1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 refreshError="1"/>
      <sheetData sheetId="874" refreshError="1"/>
      <sheetData sheetId="875" refreshError="1"/>
      <sheetData sheetId="876" refreshError="1"/>
      <sheetData sheetId="877"/>
      <sheetData sheetId="878" refreshError="1"/>
      <sheetData sheetId="879"/>
      <sheetData sheetId="880" refreshError="1"/>
      <sheetData sheetId="881" refreshError="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/>
      <sheetData sheetId="891" refreshError="1"/>
      <sheetData sheetId="892"/>
      <sheetData sheetId="893"/>
      <sheetData sheetId="894"/>
      <sheetData sheetId="895"/>
      <sheetData sheetId="896" refreshError="1"/>
      <sheetData sheetId="897" refreshError="1"/>
      <sheetData sheetId="898" refreshError="1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 refreshError="1"/>
      <sheetData sheetId="912"/>
      <sheetData sheetId="913"/>
      <sheetData sheetId="914" refreshError="1"/>
      <sheetData sheetId="915"/>
      <sheetData sheetId="916"/>
      <sheetData sheetId="917"/>
      <sheetData sheetId="918"/>
      <sheetData sheetId="919" refreshError="1"/>
      <sheetData sheetId="920"/>
      <sheetData sheetId="921" refreshError="1"/>
      <sheetData sheetId="922"/>
      <sheetData sheetId="923" refreshError="1"/>
      <sheetData sheetId="924"/>
      <sheetData sheetId="925" refreshError="1"/>
      <sheetData sheetId="926" refreshError="1"/>
      <sheetData sheetId="927" refreshError="1"/>
      <sheetData sheetId="928"/>
      <sheetData sheetId="929" refreshError="1"/>
      <sheetData sheetId="930" refreshError="1"/>
      <sheetData sheetId="931" refreshError="1"/>
      <sheetData sheetId="932" refreshError="1"/>
      <sheetData sheetId="933"/>
      <sheetData sheetId="934"/>
      <sheetData sheetId="935"/>
      <sheetData sheetId="936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/>
      <sheetData sheetId="943" refreshError="1"/>
      <sheetData sheetId="944" refreshError="1"/>
      <sheetData sheetId="945"/>
      <sheetData sheetId="946"/>
      <sheetData sheetId="947"/>
      <sheetData sheetId="948"/>
      <sheetData sheetId="949" refreshError="1"/>
      <sheetData sheetId="950" refreshError="1"/>
      <sheetData sheetId="951"/>
      <sheetData sheetId="952"/>
      <sheetData sheetId="953"/>
      <sheetData sheetId="954"/>
      <sheetData sheetId="955"/>
      <sheetData sheetId="956"/>
      <sheetData sheetId="957"/>
      <sheetData sheetId="958" refreshError="1"/>
      <sheetData sheetId="959" refreshError="1"/>
      <sheetData sheetId="960" refreshError="1"/>
      <sheetData sheetId="961"/>
      <sheetData sheetId="962"/>
      <sheetData sheetId="963"/>
      <sheetData sheetId="964"/>
      <sheetData sheetId="965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/>
      <sheetData sheetId="975"/>
      <sheetData sheetId="976"/>
      <sheetData sheetId="977"/>
      <sheetData sheetId="978" refreshError="1"/>
      <sheetData sheetId="979"/>
      <sheetData sheetId="980" refreshError="1"/>
      <sheetData sheetId="981" refreshError="1"/>
      <sheetData sheetId="982"/>
      <sheetData sheetId="983" refreshError="1"/>
      <sheetData sheetId="984" refreshError="1"/>
      <sheetData sheetId="985" refreshError="1"/>
      <sheetData sheetId="986"/>
      <sheetData sheetId="987"/>
      <sheetData sheetId="988" refreshError="1"/>
      <sheetData sheetId="989"/>
      <sheetData sheetId="990"/>
      <sheetData sheetId="991"/>
      <sheetData sheetId="992" refreshError="1"/>
      <sheetData sheetId="993"/>
      <sheetData sheetId="994"/>
      <sheetData sheetId="995" refreshError="1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 refreshError="1"/>
      <sheetData sheetId="1006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 refreshError="1"/>
      <sheetData sheetId="1030"/>
      <sheetData sheetId="1031" refreshError="1"/>
      <sheetData sheetId="1032"/>
      <sheetData sheetId="1033" refreshError="1"/>
      <sheetData sheetId="1034"/>
      <sheetData sheetId="1035"/>
      <sheetData sheetId="1036" refreshError="1"/>
      <sheetData sheetId="1037"/>
      <sheetData sheetId="1038" refreshError="1"/>
      <sheetData sheetId="1039" refreshError="1"/>
      <sheetData sheetId="1040" refreshError="1"/>
      <sheetData sheetId="1041"/>
      <sheetData sheetId="1042" refreshError="1"/>
      <sheetData sheetId="1043"/>
      <sheetData sheetId="1044"/>
      <sheetData sheetId="1045"/>
      <sheetData sheetId="1046"/>
      <sheetData sheetId="1047" refreshError="1"/>
      <sheetData sheetId="1048" refreshError="1"/>
      <sheetData sheetId="1049"/>
      <sheetData sheetId="1050"/>
      <sheetData sheetId="105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 refreshError="1"/>
      <sheetData sheetId="1071" refreshError="1"/>
      <sheetData sheetId="1072"/>
      <sheetData sheetId="1073" refreshError="1"/>
      <sheetData sheetId="1074" refreshError="1"/>
      <sheetData sheetId="1075"/>
      <sheetData sheetId="1076" refreshError="1"/>
      <sheetData sheetId="1077"/>
      <sheetData sheetId="1078"/>
      <sheetData sheetId="1079" refreshError="1"/>
      <sheetData sheetId="1080"/>
      <sheetData sheetId="1081" refreshError="1"/>
      <sheetData sheetId="1082" refreshError="1"/>
      <sheetData sheetId="1083" refreshError="1"/>
      <sheetData sheetId="1084"/>
      <sheetData sheetId="1085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/>
      <sheetData sheetId="1093"/>
      <sheetData sheetId="1094"/>
      <sheetData sheetId="1095"/>
      <sheetData sheetId="1096"/>
      <sheetData sheetId="1097" refreshError="1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/>
      <sheetData sheetId="1116" refreshError="1"/>
      <sheetData sheetId="1117" refreshError="1"/>
      <sheetData sheetId="1118"/>
      <sheetData sheetId="1119"/>
      <sheetData sheetId="1120" refreshError="1"/>
      <sheetData sheetId="1121"/>
      <sheetData sheetId="1122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/>
      <sheetData sheetId="1131"/>
      <sheetData sheetId="1132"/>
      <sheetData sheetId="1133"/>
      <sheetData sheetId="1134"/>
      <sheetData sheetId="1135" refreshError="1"/>
      <sheetData sheetId="1136"/>
      <sheetData sheetId="1137" refreshError="1"/>
      <sheetData sheetId="1138" refreshError="1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 refreshError="1"/>
      <sheetData sheetId="1150" refreshError="1"/>
      <sheetData sheetId="1151" refreshError="1"/>
      <sheetData sheetId="1152"/>
      <sheetData sheetId="1153"/>
      <sheetData sheetId="1154"/>
      <sheetData sheetId="1155" refreshError="1"/>
      <sheetData sheetId="1156"/>
      <sheetData sheetId="1157" refreshError="1"/>
      <sheetData sheetId="1158" refreshError="1"/>
      <sheetData sheetId="1159" refreshError="1"/>
      <sheetData sheetId="1160" refreshError="1"/>
      <sheetData sheetId="1161"/>
      <sheetData sheetId="1162" refreshError="1"/>
      <sheetData sheetId="1163"/>
      <sheetData sheetId="1164"/>
      <sheetData sheetId="1165"/>
      <sheetData sheetId="1166" refreshError="1"/>
      <sheetData sheetId="1167"/>
      <sheetData sheetId="1168" refreshError="1"/>
      <sheetData sheetId="1169"/>
      <sheetData sheetId="1170"/>
      <sheetData sheetId="1171"/>
      <sheetData sheetId="1172"/>
      <sheetData sheetId="1173" refreshError="1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 refreshError="1"/>
      <sheetData sheetId="1187"/>
      <sheetData sheetId="1188"/>
      <sheetData sheetId="1189"/>
      <sheetData sheetId="1190"/>
      <sheetData sheetId="1191"/>
      <sheetData sheetId="1192"/>
      <sheetData sheetId="1193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/>
      <sheetData sheetId="1202" refreshError="1"/>
      <sheetData sheetId="1203"/>
      <sheetData sheetId="1204"/>
      <sheetData sheetId="1205" refreshError="1"/>
      <sheetData sheetId="1206"/>
      <sheetData sheetId="1207" refreshError="1"/>
      <sheetData sheetId="1208" refreshError="1"/>
      <sheetData sheetId="1209" refreshError="1"/>
      <sheetData sheetId="1210"/>
      <sheetData sheetId="1211" refreshError="1"/>
      <sheetData sheetId="1212" refreshError="1"/>
      <sheetData sheetId="1213"/>
      <sheetData sheetId="1214" refreshError="1"/>
      <sheetData sheetId="1215" refreshError="1"/>
      <sheetData sheetId="1216"/>
      <sheetData sheetId="1217" refreshError="1"/>
      <sheetData sheetId="1218" refreshError="1"/>
      <sheetData sheetId="1219" refreshError="1"/>
      <sheetData sheetId="1220"/>
      <sheetData sheetId="1221" refreshError="1"/>
      <sheetData sheetId="1222"/>
      <sheetData sheetId="1223"/>
      <sheetData sheetId="1224"/>
      <sheetData sheetId="1225"/>
      <sheetData sheetId="1226" refreshError="1"/>
      <sheetData sheetId="1227"/>
      <sheetData sheetId="1228"/>
      <sheetData sheetId="1229"/>
      <sheetData sheetId="1230" refreshError="1"/>
      <sheetData sheetId="1231"/>
      <sheetData sheetId="1232"/>
      <sheetData sheetId="1233"/>
      <sheetData sheetId="1234" refreshError="1"/>
      <sheetData sheetId="1235"/>
      <sheetData sheetId="1236"/>
      <sheetData sheetId="1237" refreshError="1"/>
      <sheetData sheetId="1238"/>
      <sheetData sheetId="1239"/>
      <sheetData sheetId="1240"/>
      <sheetData sheetId="1241"/>
      <sheetData sheetId="1242"/>
      <sheetData sheetId="1243" refreshError="1"/>
      <sheetData sheetId="1244"/>
      <sheetData sheetId="1245" refreshError="1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 refreshError="1"/>
      <sheetData sheetId="1268"/>
      <sheetData sheetId="1269"/>
      <sheetData sheetId="1270"/>
      <sheetData sheetId="1271"/>
      <sheetData sheetId="1272"/>
      <sheetData sheetId="1273"/>
      <sheetData sheetId="1274" refreshError="1"/>
      <sheetData sheetId="1275" refreshError="1"/>
      <sheetData sheetId="1276" refreshError="1"/>
      <sheetData sheetId="1277" refreshError="1"/>
      <sheetData sheetId="1278"/>
      <sheetData sheetId="1279"/>
      <sheetData sheetId="1280"/>
      <sheetData sheetId="1281"/>
      <sheetData sheetId="1282"/>
      <sheetData sheetId="1283"/>
      <sheetData sheetId="1284"/>
      <sheetData sheetId="1285" refreshError="1"/>
      <sheetData sheetId="1286"/>
      <sheetData sheetId="1287"/>
      <sheetData sheetId="1288"/>
      <sheetData sheetId="1289"/>
      <sheetData sheetId="1290"/>
      <sheetData sheetId="1291"/>
      <sheetData sheetId="1292"/>
      <sheetData sheetId="1293" refreshError="1"/>
      <sheetData sheetId="1294" refreshError="1"/>
      <sheetData sheetId="1295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/>
      <sheetData sheetId="1304" refreshError="1"/>
      <sheetData sheetId="1305" refreshError="1"/>
      <sheetData sheetId="1306"/>
      <sheetData sheetId="1307"/>
      <sheetData sheetId="1308" refreshError="1"/>
      <sheetData sheetId="1309"/>
      <sheetData sheetId="1310"/>
      <sheetData sheetId="1311" refreshError="1"/>
      <sheetData sheetId="1312"/>
      <sheetData sheetId="1313"/>
      <sheetData sheetId="1314"/>
      <sheetData sheetId="1315"/>
      <sheetData sheetId="1316" refreshError="1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 refreshError="1"/>
      <sheetData sheetId="1326" refreshError="1"/>
      <sheetData sheetId="1327"/>
      <sheetData sheetId="1328" refreshError="1"/>
      <sheetData sheetId="1329" refreshError="1"/>
      <sheetData sheetId="1330" refreshError="1"/>
      <sheetData sheetId="1331" refreshError="1"/>
      <sheetData sheetId="1332"/>
      <sheetData sheetId="1333"/>
      <sheetData sheetId="1334" refreshError="1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C산출"/>
      <sheetName val="GW"/>
      <sheetName val="GC"/>
      <sheetName val="GMB"/>
      <sheetName val="용도별"/>
      <sheetName val="Sheet3"/>
      <sheetName val="유리면수정"/>
      <sheetName val="9907협력"/>
      <sheetName val="건설성적"/>
      <sheetName val="예산실적전체당월"/>
      <sheetName val="유리면(990309)"/>
      <sheetName val="투자예산"/>
      <sheetName val="코드"/>
      <sheetName val="재정"/>
      <sheetName val="TTT"/>
      <sheetName val="이자율"/>
      <sheetName val="TOTAL"/>
      <sheetName val="산출근거"/>
      <sheetName val="機器明細(MC)"/>
      <sheetName val="두께별"/>
      <sheetName val="기타수당"/>
      <sheetName val="연차수당"/>
      <sheetName val="1을"/>
      <sheetName val="투자양식"/>
      <sheetName val="수입"/>
      <sheetName val="PVC"/>
      <sheetName val="CODE"/>
      <sheetName val="통계자료"/>
      <sheetName val="OD5000"/>
      <sheetName val="db"/>
      <sheetName val="2.대외공문"/>
      <sheetName val="인건비(010330)"/>
      <sheetName val="총괄표"/>
      <sheetName val="규격"/>
      <sheetName val="MOTOR"/>
      <sheetName val="E-BDATA"/>
      <sheetName val="기초일위"/>
      <sheetName val="시설일위"/>
      <sheetName val="조명일위"/>
      <sheetName val="실행예산"/>
      <sheetName val="총내역서"/>
      <sheetName val="Sheet1"/>
      <sheetName val="비주거용"/>
      <sheetName val="LSH CODE"/>
      <sheetName val="CAUDIT"/>
      <sheetName val="누계 내외장재 비율"/>
      <sheetName val="불만처리현황"/>
      <sheetName val="부착품"/>
      <sheetName val="MC산출근거"/>
      <sheetName val="실행철강하도"/>
      <sheetName val="본문"/>
      <sheetName val="세부(종합)"/>
      <sheetName val="예산입력(전)"/>
      <sheetName val="지급자재"/>
      <sheetName val="여과지동"/>
      <sheetName val="기초자료"/>
      <sheetName val="차수"/>
      <sheetName val="추가예산"/>
      <sheetName val="제품원재"/>
      <sheetName val="대외공문"/>
      <sheetName val="조선용암면"/>
      <sheetName val=" 견적서"/>
      <sheetName val="물량표"/>
      <sheetName val="물량표S"/>
      <sheetName val="BASE"/>
      <sheetName val="집계표"/>
      <sheetName val="부재예실"/>
      <sheetName val="홈씨씨 기존 제상품 매출 거래선 LIST"/>
      <sheetName val="Sheet2"/>
      <sheetName val="수율추이"/>
      <sheetName val="연간rework환소"/>
      <sheetName val="연간rework포장"/>
      <sheetName val="Sheet2 (2)"/>
      <sheetName val="세부추진"/>
      <sheetName val="64164"/>
      <sheetName val="부재예실1월"/>
      <sheetName val="3.현황(창호_라미)"/>
      <sheetName val="3.현황(내외장재_상재)"/>
      <sheetName val="원하대비"/>
      <sheetName val="원도급"/>
      <sheetName val="하도급"/>
      <sheetName val="건재양식"/>
      <sheetName val="본예산"/>
      <sheetName val="변경증감내역서"/>
      <sheetName val="1"/>
      <sheetName val="배합비(99-05-25)"/>
      <sheetName val="참고자료(PM중점과제)"/>
      <sheetName val="준검 내역서"/>
      <sheetName val=" 갑지"/>
      <sheetName val="97년 추정"/>
      <sheetName val="설계조건"/>
      <sheetName val="당월실적"/>
      <sheetName val="1분기보증금산정"/>
      <sheetName val="물량10월"/>
      <sheetName val="tvr320"/>
      <sheetName val="수지공장 ITEM별 작업시간"/>
      <sheetName val="typecode"/>
      <sheetName val="Sheet6"/>
      <sheetName val="Sheet5"/>
      <sheetName val="Sheet4"/>
      <sheetName val="건재"/>
      <sheetName val="생략채권"/>
      <sheetName val="유리"/>
      <sheetName val="업무연락"/>
      <sheetName val="XL4Poppy"/>
      <sheetName val="원본"/>
      <sheetName val="PAINT"/>
      <sheetName val="SUMMARY"/>
      <sheetName val="KD율"/>
      <sheetName val="기술자문현황(유형별)"/>
      <sheetName val="C11F"/>
      <sheetName val="#93"/>
      <sheetName val="표지"/>
      <sheetName val="POWER"/>
      <sheetName val="3TOP2부_11월 2주차 취합본.xlsx"/>
      <sheetName val="코드표"/>
      <sheetName val="판매일반"/>
      <sheetName val="ID BY INVENTORY"/>
      <sheetName val="95년기준조정"/>
      <sheetName val="생산판매재고"/>
      <sheetName val="eq_data"/>
      <sheetName val="수리결과"/>
      <sheetName val="상용_mp"/>
      <sheetName val=" OEM상품 매출확대 방안_Ver2.0.xlsx"/>
      <sheetName val="VXXXXXXX"/>
      <sheetName val="GRACE"/>
      <sheetName val="CMC ellipse"/>
      <sheetName val="6월실적"/>
      <sheetName val="FCU (2)"/>
      <sheetName val="RD제품개발투자비(매가)"/>
      <sheetName val="4"/>
      <sheetName val="#REF"/>
      <sheetName val="인원01"/>
      <sheetName val="99기본"/>
      <sheetName val="COA-17"/>
      <sheetName val="C-18"/>
      <sheetName val="PumpSpec"/>
      <sheetName val="협조전"/>
      <sheetName val="예산M11A"/>
      <sheetName val="LEGEND"/>
      <sheetName val="VA_code"/>
      <sheetName val="견적집계표"/>
      <sheetName val="BQ"/>
      <sheetName val="초과사유"/>
      <sheetName val="월간"/>
      <sheetName val="피벗 (2)"/>
      <sheetName val="전직원명단_20011108"/>
      <sheetName val="주별납기"/>
      <sheetName val="Atomic Wt Data"/>
      <sheetName val="포장"/>
      <sheetName val="지부전체"/>
      <sheetName val="성형자료"/>
      <sheetName val="금강투자2000"/>
      <sheetName val="용해1"/>
      <sheetName val="용해2"/>
      <sheetName val="용해3"/>
      <sheetName val="용해5"/>
      <sheetName val="관리재고4월(~08년1월)"/>
      <sheetName val="실행내역서(DCU)"/>
      <sheetName val="6월"/>
      <sheetName val="조정유형06"/>
      <sheetName val="고려성적"/>
      <sheetName val="일년TOTAL"/>
      <sheetName val="재고"/>
      <sheetName val="9월누계(산지계)"/>
      <sheetName val="권역코드(0603)"/>
      <sheetName val="SUMMARY(S)"/>
      <sheetName val="00실적"/>
      <sheetName val="만년달력"/>
      <sheetName val="출장거리"/>
      <sheetName val="12년실적"/>
      <sheetName val="참고.반영율"/>
      <sheetName val="도입리스트"/>
      <sheetName val="매트"/>
      <sheetName val="사이즈"/>
      <sheetName val="용융"/>
      <sheetName val="티슈"/>
      <sheetName val="진행율"/>
      <sheetName val="DAT(목표)"/>
      <sheetName val="3.수익성향상"/>
      <sheetName val="북부"/>
      <sheetName val="신제품1"/>
      <sheetName val="신제품2"/>
      <sheetName val="신제품3"/>
      <sheetName val="예산(09년_WHITE)"/>
      <sheetName val="대비2"/>
      <sheetName val="부서"/>
      <sheetName val="2월판매"/>
      <sheetName val="손료기준-공사부구두문의"/>
      <sheetName val="콘크리트타설집계표"/>
      <sheetName val="참고"/>
      <sheetName val="월,누계 (2)"/>
      <sheetName val="작업"/>
      <sheetName val="2008 건재예산$100기준"/>
      <sheetName val="MAKER 별(3)"/>
      <sheetName val="DATA-페놀수지"/>
      <sheetName val="일위대가"/>
      <sheetName val="배합비(2,3.4분기)"/>
      <sheetName val="특판단가표"/>
      <sheetName val="월별수입"/>
      <sheetName val="원재료(LC_전체)"/>
      <sheetName val="원재료(전체_전체)"/>
      <sheetName val="당월보"/>
      <sheetName val="전년실적(판)"/>
      <sheetName val="원료"/>
      <sheetName val="단가"/>
      <sheetName val="원단위 산출"/>
      <sheetName val="고정비 내역"/>
      <sheetName val="변동비 내역"/>
      <sheetName val="실행간접비"/>
      <sheetName val="자금운용계획표"/>
      <sheetName val="공문"/>
      <sheetName val="1월"/>
      <sheetName val="판촉계획(고정)"/>
      <sheetName val="제안서"/>
      <sheetName val="행정표준(1)"/>
      <sheetName val="행정표준(2)"/>
      <sheetName val="건    재"/>
      <sheetName val="BASE보유"/>
      <sheetName val="참조자료"/>
      <sheetName val="전체LIST"/>
      <sheetName val="2003년 합계"/>
      <sheetName val="목차"/>
      <sheetName val="수주계획 (3)"/>
      <sheetName val="주간예상실적(공업)"/>
      <sheetName val="가설재손료"/>
      <sheetName val="인원계획"/>
      <sheetName val="3월"/>
      <sheetName val="피벗(월별아이템설계구분)"/>
      <sheetName val="개인별 아이템목표"/>
      <sheetName val="원가계산서"/>
      <sheetName val="담보"/>
      <sheetName val="창호이맥스"/>
      <sheetName val="유리이맥스"/>
      <sheetName val="5쪽"/>
      <sheetName val="RT산출1"/>
      <sheetName val="설계가"/>
      <sheetName val="주beam"/>
      <sheetName val="PBS"/>
      <sheetName val="95D"/>
      <sheetName val="94D"/>
      <sheetName val="기능인사자료"/>
      <sheetName val="★14 기본투자예산_ver3(신설수지 추가).xlsx"/>
      <sheetName val="연락처"/>
      <sheetName val="3_29기준"/>
      <sheetName val="S"/>
      <sheetName val="Database"/>
      <sheetName val="CAPVC"/>
      <sheetName val="적용환율"/>
      <sheetName val="연료별 환산계수"/>
      <sheetName val="일위대가표"/>
      <sheetName val="9906"/>
      <sheetName val="매출예산96"/>
      <sheetName val="시평"/>
      <sheetName val="입력란"/>
      <sheetName val=""/>
      <sheetName val="첨부2 특판단가표"/>
      <sheetName val="간접비내역-1"/>
      <sheetName val="Actual_Size"/>
      <sheetName val="투입 MM"/>
      <sheetName val="Sheet1 (2)"/>
      <sheetName val="2012.1월~현재(법률자문료비교)"/>
      <sheetName val="h-013211-2"/>
      <sheetName val="2013년원재료Brief"/>
      <sheetName val="B"/>
      <sheetName val="간접비"/>
      <sheetName val="AT310"/>
      <sheetName val="생산일정"/>
      <sheetName val="KPI(전산)"/>
      <sheetName val="정보과 예산(부수자료 언급)"/>
      <sheetName val="센스타일,강화마루 운영(안).xlsx"/>
      <sheetName val="예산(0902)_WHITE"/>
      <sheetName val="11가공(유형구분)"/>
      <sheetName val="드롭다운목록"/>
      <sheetName val="제조원가계산"/>
      <sheetName val="품목별매출"/>
      <sheetName val="울산 (2)"/>
      <sheetName val="가족수당"/>
      <sheetName val="상조회"/>
      <sheetName val="소득세"/>
      <sheetName val="SALTAB97"/>
      <sheetName val="의보"/>
      <sheetName val="생산직잔업"/>
      <sheetName val="Factor"/>
      <sheetName val="집계표(육상)"/>
      <sheetName val="철근집계표"/>
      <sheetName val="과단위"/>
      <sheetName val="KCB단가코드"/>
      <sheetName val="판매 계획"/>
      <sheetName val="2-8"/>
      <sheetName val="참조1"/>
      <sheetName val="동해title"/>
      <sheetName val="_SLL"/>
      <sheetName val="960318-1"/>
      <sheetName val="3BL공동구 수량"/>
      <sheetName val="2000전체분"/>
      <sheetName val="2000년1차"/>
      <sheetName val="LAB설비"/>
      <sheetName val="감가상각"/>
      <sheetName val="2002-12"/>
      <sheetName val="2003-01"/>
      <sheetName val="성형생산량"/>
      <sheetName val="단체(2)"/>
      <sheetName val="주거용 (2)"/>
      <sheetName val="2-2.매출분석"/>
      <sheetName val="2분기산정제품"/>
      <sheetName val="1.능률현황"/>
      <sheetName val="2.호선별예상실적"/>
      <sheetName val="Sheet7"/>
      <sheetName val="실적0902_WHITE"/>
      <sheetName val="3사인원"/>
      <sheetName val="품의서"/>
      <sheetName val="검사코멘트"/>
      <sheetName val="주소"/>
      <sheetName val="2분기"/>
      <sheetName val="3분기단가"/>
      <sheetName val="Follow. Up List"/>
      <sheetName val="울산(구분)"/>
      <sheetName val="총원가.14"/>
      <sheetName val="인원계획-미화"/>
      <sheetName val="배합변경_1"/>
      <sheetName val="품질경영"/>
      <sheetName val="손익11"/>
      <sheetName val="동재"/>
      <sheetName val="DailyInput"/>
      <sheetName val="Scenario 1"/>
      <sheetName val="5사남"/>
      <sheetName val="연차"/>
      <sheetName val="CAT_5"/>
      <sheetName val="Exchange Rate Link Sheet"/>
      <sheetName val="예산계획"/>
      <sheetName val="wall"/>
      <sheetName val="법인세신고자료"/>
      <sheetName val="full (2)"/>
      <sheetName val="Cover"/>
      <sheetName val="화재 탐지 설비"/>
      <sheetName val="Front"/>
      <sheetName val="해외"/>
      <sheetName val="3.PT개발계획"/>
      <sheetName val="Severity"/>
      <sheetName val="Classes"/>
      <sheetName val="Tbom-tot"/>
      <sheetName val="시산표"/>
      <sheetName val="AP"/>
      <sheetName val="AR"/>
      <sheetName val="EX"/>
      <sheetName val="PU"/>
      <sheetName val="RE"/>
      <sheetName val="SA"/>
      <sheetName val="INFO"/>
      <sheetName val="정산표"/>
      <sheetName val="건물명세"/>
      <sheetName val="codeSheet"/>
      <sheetName val="Data"/>
      <sheetName val="SALE&amp;COST"/>
      <sheetName val="M"/>
      <sheetName val="원료목록"/>
      <sheetName val="USA"/>
      <sheetName val="EurotoolsXRates"/>
      <sheetName val="SENSOR LIST"/>
      <sheetName val="수성자동포장라인자동화.xlsx"/>
      <sheetName val="공사비 내역 (가)"/>
      <sheetName val="직원신상"/>
      <sheetName val="Reimbursement Detail"/>
      <sheetName val="REY"/>
      <sheetName val="Sales 2019"/>
      <sheetName val="LINE LIST REVC"/>
      <sheetName val="기준"/>
      <sheetName val="Margin"/>
      <sheetName val="8.PILE  (돌출)"/>
    </sheetNames>
    <sheetDataSet>
      <sheetData sheetId="0" refreshError="1">
        <row r="51">
          <cell r="B51">
            <v>88616</v>
          </cell>
          <cell r="C51">
            <v>59770</v>
          </cell>
          <cell r="D51">
            <v>47983</v>
          </cell>
        </row>
        <row r="52">
          <cell r="B52">
            <v>116421</v>
          </cell>
          <cell r="C52">
            <v>88616</v>
          </cell>
          <cell r="D52">
            <v>59770</v>
          </cell>
        </row>
        <row r="53">
          <cell r="B53">
            <v>105184</v>
          </cell>
          <cell r="C53">
            <v>116421</v>
          </cell>
          <cell r="D53">
            <v>88616</v>
          </cell>
        </row>
        <row r="54">
          <cell r="B54">
            <v>117790</v>
          </cell>
          <cell r="C54">
            <v>105184</v>
          </cell>
          <cell r="D54">
            <v>116421</v>
          </cell>
        </row>
        <row r="55">
          <cell r="B55">
            <v>116221</v>
          </cell>
          <cell r="C55">
            <v>117790</v>
          </cell>
          <cell r="D55">
            <v>105184</v>
          </cell>
        </row>
        <row r="56">
          <cell r="B56">
            <v>117328</v>
          </cell>
          <cell r="C56">
            <v>116221</v>
          </cell>
          <cell r="D56">
            <v>117790</v>
          </cell>
        </row>
        <row r="57">
          <cell r="B57">
            <v>113821</v>
          </cell>
          <cell r="C57">
            <v>117328</v>
          </cell>
          <cell r="D57">
            <v>116221</v>
          </cell>
        </row>
        <row r="58">
          <cell r="B58">
            <v>113374</v>
          </cell>
          <cell r="C58">
            <v>113821</v>
          </cell>
          <cell r="D58">
            <v>117328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W"/>
      <sheetName val="용도별 시장"/>
      <sheetName val="용도별 시장 (2)"/>
      <sheetName val="LW"/>
      <sheetName val="CW"/>
      <sheetName val="RMB (2)"/>
      <sheetName val="RC"/>
      <sheetName val="RT"/>
      <sheetName val="RT산출1"/>
      <sheetName val="RT산출1 (2)"/>
      <sheetName val="RT난출2 (3)"/>
      <sheetName val="RT난출2"/>
      <sheetName val="RT산출3"/>
      <sheetName val="제품별 (98.6)"/>
      <sheetName val="조선용암면"/>
      <sheetName val="조선용암면 (2)"/>
      <sheetName val="산출근거"/>
      <sheetName val="소요환산"/>
      <sheetName val="비주거용"/>
      <sheetName val="은행"/>
      <sheetName val="GC산출"/>
      <sheetName val="00실적"/>
      <sheetName val="생산판매재고"/>
      <sheetName val="부재예실"/>
      <sheetName val="부재예실1월"/>
      <sheetName val="예산실적전체당월"/>
      <sheetName val="월별수입"/>
      <sheetName val="사업"/>
      <sheetName val="부서"/>
      <sheetName val="판매일반"/>
      <sheetName val="Sheet2"/>
      <sheetName val="미지급금"/>
      <sheetName val="수입"/>
      <sheetName val=" 특판지원부5월 마감자료(05.07).xlsx"/>
      <sheetName val="소개"/>
      <sheetName val="통계자료"/>
      <sheetName val="건축도급단가"/>
      <sheetName val="실행단가"/>
      <sheetName val="MC산출근거"/>
      <sheetName val="매트"/>
      <sheetName val="사이즈"/>
      <sheetName val="용융"/>
      <sheetName val="티슈"/>
      <sheetName val="RW장기(990510)"/>
      <sheetName val="3사인원"/>
      <sheetName val="1"/>
      <sheetName val="기초일위"/>
      <sheetName val="機器明細(MC)"/>
      <sheetName val="시설일위"/>
      <sheetName val="조명일위"/>
      <sheetName val="총내역서"/>
      <sheetName val="배합비(2,3.4분기)"/>
      <sheetName val="수리결과"/>
      <sheetName val="#REF"/>
      <sheetName val="Sheet1"/>
      <sheetName val="건재양식"/>
      <sheetName val="투자예산"/>
      <sheetName val="Sheet4"/>
      <sheetName val="예산입력(전)"/>
      <sheetName val="년차수당"/>
      <sheetName val="95년기준조정"/>
      <sheetName val="LC-PLAN "/>
      <sheetName val="집계표(육상)"/>
      <sheetName val="MOTOR"/>
      <sheetName val="정부노임단가"/>
      <sheetName val="개설수"/>
      <sheetName val="홈씨씨 기존 제상품 매출 거래선 LIST"/>
      <sheetName val="누계 내외장재 비율"/>
      <sheetName val="매출금액"/>
      <sheetName val="두께별"/>
      <sheetName val="설계가"/>
      <sheetName val="협조전"/>
      <sheetName val="단가"/>
      <sheetName val="1을"/>
      <sheetName val="CMC ellipse5t ab"/>
      <sheetName val="손익11"/>
      <sheetName val="사무직인사사항"/>
      <sheetName val="PVC"/>
      <sheetName val="건재"/>
      <sheetName val="생략채권"/>
      <sheetName val="유리"/>
      <sheetName val="박두익"/>
      <sheetName val="배합비(99-05-25)"/>
      <sheetName val="그래프"/>
      <sheetName val="BASE"/>
      <sheetName val="95MAKER"/>
      <sheetName val="제품원재"/>
      <sheetName val="TOTAL"/>
      <sheetName val="TL rieng"/>
      <sheetName val="건설성적"/>
      <sheetName val="지수"/>
      <sheetName val="주간업무보고 공정개발부_기술.xlsx"/>
      <sheetName val="MACRO1.XLM"/>
      <sheetName val="이자율"/>
      <sheetName val="재정"/>
      <sheetName val="TTT"/>
      <sheetName val="INPUT DATA"/>
      <sheetName val="입찰안"/>
      <sheetName val="일위대가"/>
      <sheetName val="코드표"/>
      <sheetName val="업무연락"/>
      <sheetName val="Sheet6"/>
      <sheetName val="Table(SE)"/>
      <sheetName val="VXXXXXXX"/>
      <sheetName val="DATA"/>
      <sheetName val="주별납기"/>
      <sheetName val="전직원명단_20011108"/>
      <sheetName val="h-013211-2"/>
      <sheetName val="Finished Goods "/>
      <sheetName val="표지"/>
      <sheetName val="11가공(유형구분)"/>
      <sheetName val="운영계획"/>
      <sheetName val="승용"/>
      <sheetName val="2013년누계불량채권"/>
      <sheetName val="법인세신고자료"/>
      <sheetName val="MH_생산"/>
      <sheetName val="2.대외공문"/>
      <sheetName val="Front"/>
      <sheetName val=" 10개년 장기 판매계획 양식(산업용_플랜트).xlsx"/>
      <sheetName val="4"/>
      <sheetName val="Kimdh"/>
      <sheetName val="건재0001"/>
      <sheetName val="SurveyTotals"/>
      <sheetName val="Atomic Wt Data"/>
      <sheetName val="C11F"/>
      <sheetName val="실행예산"/>
      <sheetName val="철근집계표"/>
      <sheetName val="Low Data 누계"/>
      <sheetName val="3.현황(창호_라미)"/>
      <sheetName val="3.현황(내외장재_상재)"/>
      <sheetName val="동해title"/>
      <sheetName val="9806-9901"/>
      <sheetName val="PP%계산"/>
      <sheetName val="OD5000"/>
      <sheetName val="Feed 개선"/>
      <sheetName val="9907협력"/>
      <sheetName val="상용_mp"/>
      <sheetName val="예산M11A"/>
      <sheetName val="세부추진"/>
      <sheetName val="MISCELLANIOUS"/>
      <sheetName val="간접비"/>
      <sheetName val="KTMC-1000"/>
      <sheetName val="KTMC-3000"/>
      <sheetName val="KTMC-5000"/>
      <sheetName val="코드"/>
      <sheetName val="E-BDATA"/>
      <sheetName val="주간예상실적(공업)"/>
      <sheetName val="일위대가목록"/>
      <sheetName val="USA"/>
      <sheetName val=" 장기재고 현황 (6월).xlsx"/>
      <sheetName val="구동"/>
      <sheetName val="견적조건"/>
      <sheetName val="실행철강하도"/>
      <sheetName val="인원"/>
      <sheetName val="선급미지급비용"/>
      <sheetName val="물량표"/>
      <sheetName val="97년 추정"/>
      <sheetName val=" 10개년 장기 판매계획 양식.xlsx"/>
      <sheetName val="포장"/>
      <sheetName val="영업소별 월별 아이템별 목표대비실적"/>
      <sheetName val="시간대별 Dia."/>
      <sheetName val="db"/>
      <sheetName val="Sheet3"/>
      <sheetName val="Units"/>
      <sheetName val="Instructions"/>
      <sheetName val="Total DFT Input"/>
      <sheetName val="Shadow"/>
      <sheetName val="Serial No."/>
      <sheetName val="KD율"/>
      <sheetName val="Cover"/>
      <sheetName val="출고 자료합계(원본)"/>
      <sheetName val="출고 자료합계(~FEB)"/>
      <sheetName val="원료생산부"/>
      <sheetName val=" 견적서"/>
      <sheetName val="전년실적"/>
      <sheetName val="2-2.매출분석"/>
      <sheetName val="2000년 신제품 내역"/>
      <sheetName val="_포상대상_선정을_위한_원가절감(16.11.25).xls"/>
      <sheetName val="Sheet5"/>
      <sheetName val="16년팀별"/>
      <sheetName val="2-8"/>
      <sheetName val="TG9504"/>
      <sheetName val="대비2"/>
      <sheetName val="제조사용"/>
      <sheetName val=""/>
      <sheetName val="(공장-부서별)"/>
      <sheetName val="제안서"/>
      <sheetName val="행정표준(1)"/>
      <sheetName val="행정표준(2)"/>
      <sheetName val="CAUDIT"/>
      <sheetName val="Tiburon"/>
      <sheetName val="제품분류코드"/>
      <sheetName val="6PILE  (돌출)"/>
      <sheetName val="결론"/>
      <sheetName val="외화가수금"/>
      <sheetName val="2003 finger pin 투입 전후(5mm)"/>
      <sheetName val="GEUB "/>
      <sheetName val="Factor"/>
      <sheetName val="BUDGCM"/>
      <sheetName val="준비및체크사항"/>
      <sheetName val="DATE"/>
      <sheetName val="산출내역서집계표"/>
      <sheetName val="4차원가계산서"/>
      <sheetName val="산출내역서"/>
      <sheetName val="교대"/>
      <sheetName val="PL Vua"/>
      <sheetName val="대비"/>
      <sheetName val="Khoi luong"/>
      <sheetName val="Note"/>
      <sheetName val="개산공사비"/>
      <sheetName val="FAB별"/>
      <sheetName val="전부서공통"/>
      <sheetName val="3월 법인별 DGU 출고량_완성.xlsx"/>
      <sheetName val="5사남"/>
      <sheetName val="비용"/>
      <sheetName val="#93"/>
      <sheetName val="FCU (2)"/>
      <sheetName val="부착품"/>
      <sheetName val="원본"/>
      <sheetName val="RD제품개발투자비(매가)"/>
      <sheetName val="성형생산량"/>
      <sheetName val="3.PT개발계획"/>
      <sheetName val="Sheet1 (2)"/>
      <sheetName val="주문량"/>
      <sheetName val="이송중"/>
      <sheetName val="실행내역서(DCU)"/>
      <sheetName val="항목"/>
      <sheetName val="대차확인"/>
      <sheetName val="매출"/>
      <sheetName val="EQT-ESTN"/>
      <sheetName val="보할공정"/>
      <sheetName val="수량 산출서(당초)"/>
      <sheetName val="사급자재총괄"/>
      <sheetName val="Settings"/>
      <sheetName val="zeus no links"/>
      <sheetName val="용도별_시장"/>
      <sheetName val="용도별_시장_(2)"/>
      <sheetName val="RMB_(2)"/>
      <sheetName val="RT산출1_(2)"/>
      <sheetName val="RT난출2_(3)"/>
      <sheetName val="제품별_(98_6)"/>
      <sheetName val="조선용암면_(2)"/>
      <sheetName val="_특판지원부5월_마감자료(05_07)_xlsx"/>
      <sheetName val="배합비(2,3_4분기)"/>
      <sheetName val="LC-PLAN_"/>
      <sheetName val="홈씨씨_기존_제상품_매출_거래선_LIST"/>
      <sheetName val="누계_내외장재_비율"/>
      <sheetName val="CMC_ellipse5t_ab"/>
      <sheetName val="주간업무보고_공정개발부_기술_xlsx"/>
      <sheetName val="MACRO1_XLM"/>
      <sheetName val="TL_rieng"/>
      <sheetName val="INPUT_DATA"/>
      <sheetName val="Finished_Goods_"/>
      <sheetName val="2_대외공문"/>
      <sheetName val="_10개년_장기_판매계획_양식(산업용_플랜트)_xlsx"/>
      <sheetName val="Atomic_Wt_Data"/>
      <sheetName val="Low_Data_누계"/>
      <sheetName val="3_현황(창호_라미)"/>
      <sheetName val="3_현황(내외장재_상재)"/>
      <sheetName val="Feed_개선"/>
      <sheetName val="_장기재고_현황_(6월)_xlsx"/>
      <sheetName val="영업소별_월별_아이템별_목표대비실적"/>
      <sheetName val="97년_추정"/>
      <sheetName val="_10개년_장기_판매계획_양식_xlsx"/>
      <sheetName val="시간대별_Dia_"/>
      <sheetName val="Total_DFT_Input"/>
      <sheetName val="Serial_No_"/>
      <sheetName val="출고_자료합계(원본)"/>
      <sheetName val="출고_자료합계(~FEB)"/>
      <sheetName val="2-2_매출분석"/>
      <sheetName val="_견적서"/>
      <sheetName val="_포상대상_선정을_위한_원가절감(16_11_25)_xls"/>
      <sheetName val="2000년_신제품_내역"/>
      <sheetName val="6PILE__(돌출)"/>
      <sheetName val="2003_finger_pin_투입_전후(5mm)"/>
      <sheetName val="GEUB_"/>
      <sheetName val="6월실적"/>
      <sheetName val=" 수출팀 이관거래선.xlsx"/>
      <sheetName val="4월가격"/>
      <sheetName val="보고서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9">
          <cell r="B9">
            <v>4429</v>
          </cell>
          <cell r="C9">
            <v>4567</v>
          </cell>
          <cell r="D9">
            <v>3049</v>
          </cell>
        </row>
        <row r="10">
          <cell r="B10">
            <v>4567</v>
          </cell>
          <cell r="C10">
            <v>4867</v>
          </cell>
          <cell r="D10">
            <v>3273</v>
          </cell>
        </row>
        <row r="11">
          <cell r="B11">
            <v>4867</v>
          </cell>
          <cell r="C11">
            <v>5170</v>
          </cell>
          <cell r="D11">
            <v>3762</v>
          </cell>
        </row>
        <row r="12">
          <cell r="B12">
            <v>5170</v>
          </cell>
          <cell r="C12">
            <v>5662</v>
          </cell>
          <cell r="D12">
            <v>4212</v>
          </cell>
        </row>
        <row r="13">
          <cell r="B13">
            <v>5662</v>
          </cell>
          <cell r="C13">
            <v>7798</v>
          </cell>
          <cell r="D13">
            <v>4879</v>
          </cell>
        </row>
        <row r="14">
          <cell r="B14">
            <v>7798</v>
          </cell>
          <cell r="C14">
            <v>7449</v>
          </cell>
          <cell r="D14">
            <v>5794</v>
          </cell>
        </row>
        <row r="15">
          <cell r="B15">
            <v>7449</v>
          </cell>
          <cell r="C15">
            <v>8634</v>
          </cell>
          <cell r="D15">
            <v>7380</v>
          </cell>
        </row>
        <row r="16">
          <cell r="B16">
            <v>8634</v>
          </cell>
          <cell r="C16">
            <v>9000</v>
          </cell>
          <cell r="D16">
            <v>7500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근거(내수)"/>
      <sheetName val="수지"/>
      <sheetName val="95년기준조정"/>
      <sheetName val="지표"/>
      <sheetName val="조선용암면"/>
      <sheetName val="산출근거"/>
      <sheetName val="기타수당"/>
      <sheetName val="연차수당"/>
      <sheetName val="GC산출"/>
      <sheetName val="건    재"/>
      <sheetName val="2.대외공문"/>
      <sheetName val="機器明細(MC)"/>
      <sheetName val="수지(0203)"/>
      <sheetName val="부재예실"/>
      <sheetName val="국가코드-관할지사(수정)"/>
      <sheetName val="#REF"/>
      <sheetName val="기초일위"/>
      <sheetName val="시설일위"/>
      <sheetName val="조명일위"/>
      <sheetName val="통계자료"/>
      <sheetName val="세부(종합)"/>
      <sheetName val="9811"/>
      <sheetName val="Front"/>
      <sheetName val="wall"/>
      <sheetName val="1"/>
      <sheetName val="배합비(99-05-25)"/>
      <sheetName val="집계표"/>
      <sheetName val="개설수"/>
      <sheetName val="홈씨씨 기존 제상품 매출 거래선 LIST"/>
      <sheetName val="Sheet2"/>
      <sheetName val="비주거용"/>
      <sheetName val="예산실적전체당월"/>
      <sheetName val="누계 내외장재 비율"/>
      <sheetName val="국가코드"/>
      <sheetName val="세무서코드(2004.4.1이후)"/>
      <sheetName val="9907협력"/>
      <sheetName val="LAB설비"/>
      <sheetName val="03년 손익"/>
      <sheetName val="건설성적"/>
      <sheetName val="Sheet4"/>
      <sheetName val="Finished Goods "/>
      <sheetName val="Dropdown 메뉴"/>
      <sheetName val="설계가"/>
      <sheetName val="5사남"/>
      <sheetName val="기성및원가"/>
      <sheetName val="원본"/>
      <sheetName val="표지"/>
      <sheetName val="1을"/>
      <sheetName val="재정"/>
      <sheetName val="TTT"/>
      <sheetName val="생산계획"/>
      <sheetName val="3.붙이기"/>
      <sheetName val="판매추정"/>
      <sheetName val="참고.반영율"/>
      <sheetName val="생산일정"/>
      <sheetName val="년차수당"/>
      <sheetName val="PATENT"/>
      <sheetName val="원재료비 UP-DATE"/>
      <sheetName val="존4"/>
      <sheetName val="MOTOR"/>
      <sheetName val="Gia vat tu"/>
      <sheetName val="00실적"/>
      <sheetName val="해외"/>
      <sheetName val="3.PT개발계획"/>
      <sheetName val="200101"/>
      <sheetName val="설계명세서"/>
      <sheetName val="박두익"/>
      <sheetName val="Sheet1 (3)"/>
      <sheetName val="Sheet1"/>
      <sheetName val="기준데이터"/>
      <sheetName val="2008 건재예산$100기준"/>
      <sheetName val="6월보고실적현황"/>
      <sheetName val="BASE"/>
      <sheetName val="CODE"/>
      <sheetName val="견적집계표"/>
      <sheetName val="이자율"/>
      <sheetName val="단가"/>
      <sheetName val="최종가공"/>
      <sheetName val="9월누계실적"/>
      <sheetName val="TOTAL"/>
      <sheetName val="Atomic Wt Data"/>
      <sheetName val="C11F"/>
      <sheetName val="배합비(2,3.4분기)"/>
      <sheetName val="투자예산"/>
      <sheetName val="구분"/>
      <sheetName val="실행예산"/>
      <sheetName val="참조3"/>
      <sheetName val="참조3 (2)"/>
      <sheetName val="참조3 (3)"/>
      <sheetName val="과구분"/>
      <sheetName val="수리결과"/>
      <sheetName val="동해title"/>
      <sheetName val="계획08"/>
      <sheetName val="사업소득자세수추계"/>
      <sheetName val="기간부서"/>
      <sheetName val="두께별"/>
      <sheetName val="법인세신고자료"/>
      <sheetName val="노임이"/>
      <sheetName val="08이전 하자증권"/>
      <sheetName val="프랜트면허"/>
      <sheetName val="tvr320"/>
      <sheetName val="tvr360"/>
      <sheetName val="발행제기"/>
      <sheetName val="그래프1"/>
      <sheetName val="철근집계표"/>
      <sheetName val="97년 1월"/>
      <sheetName val="원료"/>
      <sheetName val="Total DFT Input"/>
      <sheetName val="Shadow"/>
      <sheetName val="Serial No."/>
      <sheetName val=" 10개년 장기 판매계획 양식.xlsx"/>
      <sheetName val="2006년년간실적"/>
      <sheetName val="DATA"/>
      <sheetName val="PDP"/>
      <sheetName val="PVC"/>
      <sheetName val="건재"/>
      <sheetName val="생략채권"/>
      <sheetName val="유리"/>
      <sheetName val="16년팀별"/>
      <sheetName val="공사비_NDE"/>
      <sheetName val="18년기본예산및17년추정실적"/>
      <sheetName val="MC산출근거"/>
      <sheetName val="11가공(유형구분)"/>
      <sheetName val="REY"/>
      <sheetName val="MACRO1.XLM"/>
      <sheetName val=" 주간업무보고 - 3월 4주차.xlsx"/>
      <sheetName val="작성근거"/>
      <sheetName val="기본"/>
      <sheetName val="CF"/>
      <sheetName val="참조셀삭제금지"/>
      <sheetName val="8월"/>
      <sheetName val="KD율"/>
      <sheetName val="바닥판(1)"/>
      <sheetName val="용역비내역-진짜"/>
      <sheetName val="판매일반"/>
      <sheetName val="아파트진행률"/>
      <sheetName val="Book Intangibles"/>
      <sheetName val="96노임기준"/>
      <sheetName val="울산(코드별규격)"/>
      <sheetName val="제품원재"/>
      <sheetName val="부재예실1월"/>
      <sheetName val="Renewal Cancel Rates Sens"/>
      <sheetName val="TELES"/>
      <sheetName val="CMC ellipse5t ab"/>
      <sheetName val="6PILE  (돌출)"/>
      <sheetName val="Sheet6"/>
      <sheetName val="2012.1월~현재(법률자문료비교)"/>
      <sheetName val="미지급금"/>
      <sheetName val="도입리스트"/>
      <sheetName val="00'미수"/>
      <sheetName val="건재양식"/>
      <sheetName val="S"/>
      <sheetName val="BASE보유"/>
      <sheetName val="참조자료"/>
      <sheetName val="매출"/>
      <sheetName val="변경"/>
      <sheetName val="IDONG"/>
      <sheetName val="계정코드집"/>
      <sheetName val="환율정보"/>
      <sheetName val="중앙(MOT)"/>
      <sheetName val="현금및현금등가물"/>
      <sheetName val="Macro3"/>
      <sheetName val="기본정보"/>
      <sheetName val="공정능력외경"/>
      <sheetName val="방정식그래프"/>
      <sheetName val="EX"/>
      <sheetName val="C"/>
      <sheetName val="BS"/>
      <sheetName val="★F2.1"/>
      <sheetName val="OBS"/>
      <sheetName val="1995년 섹터별 매출"/>
      <sheetName val="Config"/>
      <sheetName val="8월--12월"/>
      <sheetName val="1월--7월"/>
      <sheetName val=" 견적서"/>
      <sheetName val="배합비(99-06-15)"/>
      <sheetName val="현재담보"/>
      <sheetName val="금융비용"/>
      <sheetName val="RW"/>
      <sheetName val="견적조건"/>
      <sheetName val="원가기준정보"/>
      <sheetName val="원가배부작업시간"/>
      <sheetName val="94B"/>
      <sheetName val="연차"/>
      <sheetName val="사기성계산 (3)"/>
      <sheetName val="heg급여table"/>
      <sheetName val="LOOKUP"/>
      <sheetName val="부적합관리대장"/>
      <sheetName val="db"/>
      <sheetName val="견"/>
      <sheetName val="교대"/>
    </sheetNames>
    <sheetDataSet>
      <sheetData sheetId="0">
        <row r="5">
          <cell r="J5">
            <v>49361.3</v>
          </cell>
        </row>
      </sheetData>
      <sheetData sheetId="1">
        <row r="5">
          <cell r="J5">
            <v>49361.3</v>
          </cell>
        </row>
      </sheetData>
      <sheetData sheetId="2" refreshError="1">
        <row r="5">
          <cell r="J5">
            <v>49361.3</v>
          </cell>
          <cell r="K5">
            <v>18530</v>
          </cell>
          <cell r="L5">
            <v>100726.7</v>
          </cell>
          <cell r="S5">
            <v>2999</v>
          </cell>
        </row>
        <row r="6">
          <cell r="J6">
            <v>58402.8</v>
          </cell>
          <cell r="K6">
            <v>22119.7</v>
          </cell>
          <cell r="L6">
            <v>108219.2</v>
          </cell>
          <cell r="S6">
            <v>2963</v>
          </cell>
        </row>
        <row r="7">
          <cell r="J7">
            <v>65447.8</v>
          </cell>
          <cell r="K7">
            <v>24911.1</v>
          </cell>
          <cell r="L7">
            <v>117244.8</v>
          </cell>
          <cell r="S7">
            <v>3329</v>
          </cell>
        </row>
        <row r="8">
          <cell r="J8">
            <v>67745.399999999994</v>
          </cell>
          <cell r="K8">
            <v>28466.9</v>
          </cell>
          <cell r="L8">
            <v>129143.2</v>
          </cell>
          <cell r="S8">
            <v>4721</v>
          </cell>
        </row>
        <row r="9">
          <cell r="J9">
            <v>73982.5</v>
          </cell>
          <cell r="K9">
            <v>33493.4</v>
          </cell>
          <cell r="L9">
            <v>141618.29999999999</v>
          </cell>
          <cell r="S9">
            <v>4818</v>
          </cell>
        </row>
        <row r="10">
          <cell r="J10">
            <v>81033</v>
          </cell>
          <cell r="K10">
            <v>38451.599999999999</v>
          </cell>
          <cell r="L10">
            <v>153011.9</v>
          </cell>
          <cell r="S10">
            <v>4130</v>
          </cell>
        </row>
        <row r="11">
          <cell r="J11">
            <v>85315.9</v>
          </cell>
          <cell r="K11">
            <v>38331.800000000003</v>
          </cell>
          <cell r="L11">
            <v>161319.5</v>
          </cell>
          <cell r="S11">
            <v>4362</v>
          </cell>
        </row>
        <row r="12">
          <cell r="J12">
            <v>89900.5</v>
          </cell>
          <cell r="K12">
            <v>38439.9</v>
          </cell>
          <cell r="L12">
            <v>170559.2</v>
          </cell>
          <cell r="S12">
            <v>5526</v>
          </cell>
        </row>
        <row r="13">
          <cell r="J13">
            <v>99611.5</v>
          </cell>
          <cell r="K13">
            <v>47612</v>
          </cell>
          <cell r="L13">
            <v>184637.8</v>
          </cell>
          <cell r="S13">
            <v>6770</v>
          </cell>
        </row>
        <row r="14">
          <cell r="J14">
            <v>110826.9</v>
          </cell>
          <cell r="K14">
            <v>56241</v>
          </cell>
          <cell r="L14">
            <v>202573.5</v>
          </cell>
          <cell r="S14">
            <v>7034</v>
          </cell>
        </row>
        <row r="15">
          <cell r="J15">
            <v>118342.7</v>
          </cell>
          <cell r="K15">
            <v>61332.6</v>
          </cell>
          <cell r="L15">
            <v>216949.6</v>
          </cell>
          <cell r="S15">
            <v>7244</v>
          </cell>
        </row>
        <row r="16">
          <cell r="J16">
            <v>126117.2</v>
          </cell>
          <cell r="K16">
            <v>56009.8</v>
          </cell>
          <cell r="L16">
            <v>224536.5</v>
          </cell>
          <cell r="S16">
            <v>7509.7460000000001</v>
          </cell>
        </row>
        <row r="17">
          <cell r="J17">
            <v>117013.7</v>
          </cell>
          <cell r="K17">
            <v>34469.300000000003</v>
          </cell>
          <cell r="L17">
            <v>202553.3</v>
          </cell>
          <cell r="S17">
            <v>5318.5860000000002</v>
          </cell>
        </row>
        <row r="18">
          <cell r="J18">
            <v>130749.01860946578</v>
          </cell>
          <cell r="K18">
            <v>47291.8796</v>
          </cell>
          <cell r="L18">
            <v>221795.86349999998</v>
          </cell>
          <cell r="S18">
            <v>5992.3850000000002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비리스트"/>
      <sheetName val="04Y 업무분장"/>
      <sheetName val="생산기술연구소"/>
      <sheetName val="업무FLOW"/>
      <sheetName val="00.품질지시서목차 "/>
      <sheetName val="101.설비관리번호부여표준"/>
      <sheetName val="201.설비등급부여표준"/>
      <sheetName val="02.설비등급기준표"/>
      <sheetName val="교육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근거"/>
      <sheetName val="총시장(확정)"/>
      <sheetName val="00예상실적"/>
      <sheetName val="전체"/>
      <sheetName val="수출"/>
      <sheetName val="내수"/>
      <sheetName val="95년기준조정"/>
      <sheetName val="지표"/>
      <sheetName val="Sheet4"/>
      <sheetName val="출장거리"/>
      <sheetName val="1"/>
      <sheetName val="건설성적"/>
      <sheetName val="주간예상실적(공업)"/>
      <sheetName val="골조시행"/>
      <sheetName val="5사남"/>
      <sheetName val="소방"/>
      <sheetName val="1과"/>
      <sheetName val="DATA"/>
      <sheetName val="열관류율●"/>
      <sheetName val="fud"/>
      <sheetName val="건    재"/>
      <sheetName val="조선용암면"/>
      <sheetName val="개설수"/>
      <sheetName val="판매일반"/>
      <sheetName val="KPI(전산)"/>
      <sheetName val="비주거용"/>
      <sheetName val="부재예실"/>
      <sheetName val="GC산출"/>
      <sheetName val="데이타"/>
      <sheetName val="집계양식"/>
      <sheetName val="수리결과"/>
      <sheetName val="Front"/>
      <sheetName val="wall"/>
      <sheetName val="고정자산"/>
      <sheetName val="매출원가추정"/>
      <sheetName val="매출추정"/>
      <sheetName val="예산실적전체당월"/>
      <sheetName val="출금실적"/>
      <sheetName val="LAB설비"/>
      <sheetName val="통계자료"/>
      <sheetName val="투자예산"/>
      <sheetName val="1을"/>
      <sheetName val="일위대가표"/>
      <sheetName val="00실적"/>
      <sheetName val="리피니쉬총시장(0807)"/>
      <sheetName val="4과 거래선별 판매 계획"/>
      <sheetName val="5과 거래선별 판매 계획"/>
      <sheetName val="CON'C"/>
      <sheetName val="견적집계표"/>
      <sheetName val="건축허가착공정리"/>
      <sheetName val="공사실적"/>
      <sheetName val="자동차등록"/>
      <sheetName val="지표정리"/>
      <sheetName val="Sheet3"/>
      <sheetName val="지표정리-정리"/>
      <sheetName val="건축허가착공"/>
      <sheetName val="부서"/>
      <sheetName val="6월"/>
      <sheetName val="계정부서"/>
      <sheetName val="부재예실1월"/>
      <sheetName val="3월"/>
      <sheetName val="단가"/>
      <sheetName val="생산판매재고"/>
      <sheetName val="소개"/>
      <sheetName val="배합비(2,3.4분기)"/>
      <sheetName val="Sheet1"/>
      <sheetName val="1월"/>
      <sheetName val="제품원재"/>
      <sheetName val="물량표"/>
      <sheetName val="전년실적"/>
      <sheetName val="지역별수출"/>
      <sheetName val="tvr320"/>
      <sheetName val="제안서"/>
      <sheetName val="행정표준(1)"/>
      <sheetName val="행정표준(2)"/>
      <sheetName val="추가예산"/>
      <sheetName val="본문"/>
      <sheetName val="월별수입"/>
      <sheetName val="Sheet2"/>
      <sheetName val="배합변경_1"/>
      <sheetName val="품질경영"/>
      <sheetName val="준검 내역서"/>
      <sheetName val="Sheet4 (2)"/>
      <sheetName val="공문"/>
      <sheetName val="자금운용계획표"/>
      <sheetName val="교수설계"/>
      <sheetName val="2003년 합계"/>
      <sheetName val="카메라2"/>
      <sheetName val="Finished Goods "/>
      <sheetName val="기초자료"/>
      <sheetName val="OD5000"/>
      <sheetName val="MISCELLANIOUS"/>
      <sheetName val="MOTOR"/>
      <sheetName val="동해title"/>
      <sheetName val="원하대비"/>
      <sheetName val="원도급"/>
      <sheetName val="하도급"/>
      <sheetName val="배합비(99-05-25)"/>
      <sheetName val="MC산출근거"/>
      <sheetName val="로봇소프트플랫폼_기술분류"/>
      <sheetName val="BASE"/>
      <sheetName val="단가대비표"/>
      <sheetName val="부서별집계"/>
      <sheetName val="근태시간"/>
      <sheetName val="참고.반영율"/>
      <sheetName val="권역,사업부"/>
      <sheetName val="#REF"/>
      <sheetName val="누계 내외장재 비율"/>
      <sheetName val="원재료비 UP-DATE"/>
      <sheetName val="PDP"/>
      <sheetName val="미지급금"/>
      <sheetName val="보증금"/>
      <sheetName val="산정(1부)"/>
      <sheetName val="당월실적"/>
      <sheetName val="수량산출"/>
      <sheetName val="Total DFT Input"/>
      <sheetName val="Shadow"/>
      <sheetName val="Serial No."/>
      <sheetName val="식재인부"/>
      <sheetName val=" 장기재고 현황 (6월).xlsx"/>
      <sheetName val="97년 추정"/>
      <sheetName val="건재0001"/>
      <sheetName val="보증금(창)"/>
      <sheetName val="산정"/>
      <sheetName val="전년실적(창)"/>
      <sheetName val="11가공(유형구분)"/>
      <sheetName val="3.수익성향상"/>
      <sheetName val="2-8"/>
      <sheetName val="기준데이터"/>
      <sheetName val="결재란"/>
      <sheetName val="첨부2 특판단가표"/>
      <sheetName val="PATENT"/>
      <sheetName val="機器明細(MC)"/>
      <sheetName val="tt-RESIN"/>
      <sheetName val="매트"/>
      <sheetName val="사이즈"/>
      <sheetName val="용융"/>
      <sheetName val="티슈"/>
      <sheetName val="3사인원"/>
      <sheetName val="지부전체"/>
      <sheetName val="별첨_2)내수_수출 (2)"/>
      <sheetName val="선급법인세"/>
      <sheetName val="집계표"/>
      <sheetName val="선급비용"/>
      <sheetName val="판매 계획"/>
      <sheetName val="ref"/>
      <sheetName val="변경후"/>
      <sheetName val="법인세신고자료"/>
      <sheetName val="용수량(생활용수)"/>
      <sheetName val="BASE보유"/>
      <sheetName val="참조자료"/>
      <sheetName val="부도어음"/>
      <sheetName val="계정코드집"/>
      <sheetName val="활동코드집"/>
      <sheetName val="BFC Predecessor"/>
      <sheetName val="협조전"/>
      <sheetName val="BS(4)"/>
      <sheetName val="XREF"/>
      <sheetName val="가족수당"/>
      <sheetName val="상조회"/>
      <sheetName val="소득세"/>
      <sheetName val="SALTAB97"/>
      <sheetName val="의보"/>
      <sheetName val="생산직잔업"/>
      <sheetName val="2.지분법적용주식Leadsheet(1)"/>
      <sheetName val="비용"/>
      <sheetName val="성적표96"/>
      <sheetName val="실행철강하도"/>
      <sheetName val="기타고정부채"/>
      <sheetName val="J"/>
      <sheetName val="내역서"/>
      <sheetName val="2.대외공문"/>
      <sheetName val=" 견적서"/>
      <sheetName val="PVC"/>
      <sheetName val="건재"/>
      <sheetName val="생략채권"/>
      <sheetName val="유리"/>
      <sheetName val="건설사&amp;지역구분 "/>
      <sheetName val="9811"/>
      <sheetName val="11월사업계획대실적"/>
      <sheetName val="06년 계획"/>
      <sheetName val="도입리스트"/>
    </sheetNames>
    <sheetDataSet>
      <sheetData sheetId="0" refreshError="1">
        <row r="6">
          <cell r="BF6">
            <v>2255.4669137188557</v>
          </cell>
        </row>
        <row r="7">
          <cell r="BF7">
            <v>2657.3932912949863</v>
          </cell>
        </row>
        <row r="8">
          <cell r="BF8">
            <v>3127.6609537065519</v>
          </cell>
        </row>
        <row r="9">
          <cell r="BF9">
            <v>3499.070780144571</v>
          </cell>
        </row>
        <row r="10">
          <cell r="BF10">
            <v>3761.7015461396495</v>
          </cell>
        </row>
        <row r="11">
          <cell r="BF11">
            <v>3857.2883164410955</v>
          </cell>
        </row>
        <row r="12">
          <cell r="BF12">
            <v>4168.7049999999999</v>
          </cell>
        </row>
        <row r="13">
          <cell r="BF13">
            <v>2805.4069999999997</v>
          </cell>
        </row>
        <row r="14">
          <cell r="BF14">
            <v>4094.3349999999996</v>
          </cell>
        </row>
        <row r="15">
          <cell r="BF15">
            <v>5229.71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①거래선이관"/>
      <sheetName val="변경"/>
      <sheetName val="양식"/>
      <sheetName val="홈씨씨코드"/>
      <sheetName val="매출"/>
      <sheetName val="채권"/>
      <sheetName val="담당"/>
      <sheetName val="②시공코드이관"/>
      <sheetName val="③유형이관"/>
      <sheetName val="Sheet1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허가면적(6.22)"/>
      <sheetName val="유형별 (6.22)"/>
      <sheetName val="유형별 (5.14)"/>
      <sheetName val="허가면적(5.18)"/>
      <sheetName val="허가면적(5.12)10%"/>
      <sheetName val="허가면적(5.12)5%"/>
      <sheetName val="허가면적(5.12)5% (2)"/>
      <sheetName val="허가면적(5.12) (2)"/>
      <sheetName val="내용2 (2.27) "/>
      <sheetName val="총괄"/>
      <sheetName val="주거용"/>
      <sheetName val="주거용 (2)"/>
      <sheetName val="건설투자"/>
      <sheetName val="비주거용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산출근거"/>
      <sheetName val="GC산출"/>
      <sheetName val="건재양식"/>
      <sheetName val="건재"/>
      <sheetName val="생략채권"/>
      <sheetName val="유리"/>
      <sheetName val="PVC"/>
      <sheetName val="일년TOTAL"/>
      <sheetName val="코드표(세무증빙표)"/>
      <sheetName val="건설성적"/>
      <sheetName val="월간"/>
      <sheetName val="9805허가"/>
      <sheetName val="부재예실"/>
      <sheetName val=" 17. 유기소재.xlsx"/>
      <sheetName val="배합비(99-05-25)"/>
      <sheetName val="출장거리"/>
      <sheetName val="MC산출근거"/>
      <sheetName val="승용"/>
      <sheetName val="원본"/>
      <sheetName val="00실적"/>
      <sheetName val="5사남"/>
      <sheetName val="골프모래"/>
      <sheetName val="제품원재"/>
      <sheetName val="제안서"/>
      <sheetName val="행정표준(1)"/>
      <sheetName val="행정표준(2)"/>
      <sheetName val="단가"/>
      <sheetName val="#REF"/>
      <sheetName val="000000"/>
      <sheetName val="LEGEND"/>
      <sheetName val="년차수당"/>
      <sheetName val="1을"/>
      <sheetName val="VA_code"/>
      <sheetName val="95년기준조정"/>
      <sheetName val="부재예실1월"/>
      <sheetName val="피벗 (2)"/>
      <sheetName val="신규DEP"/>
      <sheetName val="5.세운W-A"/>
      <sheetName val="RD제품개발투자비(매가)"/>
      <sheetName val="수리결과"/>
      <sheetName val="5쪽"/>
      <sheetName val="예산실적전체당월"/>
      <sheetName val="판촉계획(고정)"/>
      <sheetName val="BASE"/>
      <sheetName val="95MAKER"/>
      <sheetName val="Atomic Wt Data"/>
      <sheetName val="3사인원"/>
      <sheetName val="조선용암면"/>
      <sheetName val="부대시설"/>
      <sheetName val="Apt내역"/>
      <sheetName val="빙100장비사양"/>
      <sheetName val="투찰추정"/>
      <sheetName val="입찰안"/>
      <sheetName val="건축도급단가"/>
      <sheetName val="실행단가"/>
      <sheetName val="1"/>
      <sheetName val="이자율"/>
      <sheetName val="전체LIST"/>
      <sheetName val="반품상세"/>
      <sheetName val="guard(mac)"/>
      <sheetName val="VXXXXXXX"/>
      <sheetName val="tggwan(mac)"/>
      <sheetName val="건    재"/>
      <sheetName val="차량별점검"/>
      <sheetName val="engline"/>
      <sheetName val="미지급금"/>
      <sheetName val="금액"/>
      <sheetName val="운영계획"/>
      <sheetName val="손료기준-공사부구두문의"/>
      <sheetName val="tabl"/>
      <sheetName val="Sheet1"/>
      <sheetName val="LAB설비"/>
      <sheetName val="97년 추정"/>
      <sheetName val="투자예산"/>
      <sheetName val="통계자료"/>
      <sheetName val="초과사유"/>
      <sheetName val="CMC ellipse"/>
      <sheetName val="Sheet4"/>
      <sheetName val="선급법인세"/>
      <sheetName val="OD5000"/>
      <sheetName val="개설수"/>
      <sheetName val="KPI(전산)"/>
      <sheetName val="자체실적1Q"/>
      <sheetName val="표지"/>
      <sheetName val="Sheet2 (2)"/>
      <sheetName val="04월계획"/>
      <sheetName val="12월실적"/>
      <sheetName val="단가대비표"/>
      <sheetName val="Listvalues"/>
      <sheetName val="report_20"/>
      <sheetName val="camera_30"/>
      <sheetName val="전년실적"/>
      <sheetName val="당월실적"/>
      <sheetName val="구분자룩업"/>
      <sheetName val="1분기용기보증금산정"/>
      <sheetName val="DATA"/>
      <sheetName val="04월실적"/>
      <sheetName val="항목(1)"/>
      <sheetName val="주간예상실적(공업)"/>
      <sheetName val="Finished Goods "/>
      <sheetName val="누계 내외장재 비율"/>
      <sheetName val="기초생년월일"/>
      <sheetName val="배합비(2,3.4분기)"/>
      <sheetName val="KSHAHU-6"/>
      <sheetName val="결론"/>
      <sheetName val="협조전"/>
      <sheetName val="4"/>
      <sheetName val="계획08"/>
      <sheetName val="2-8"/>
      <sheetName val="10"/>
      <sheetName val="90"/>
      <sheetName val="40"/>
      <sheetName val="50"/>
      <sheetName val="60"/>
      <sheetName val="70"/>
      <sheetName val="camera_10"/>
      <sheetName val="판매 계획"/>
      <sheetName val="1월"/>
      <sheetName val="박두익"/>
      <sheetName val="원재료비 UP-DATE"/>
      <sheetName val="PDP"/>
      <sheetName val="수율추이"/>
      <sheetName val="11가공(유형구분)"/>
      <sheetName val=" 10개년 장기 판매계획 양식(산업용_플랜트).xlsx"/>
      <sheetName val="도입리스트"/>
      <sheetName val="2.대외공문"/>
      <sheetName val="9907협력"/>
      <sheetName val="구분자"/>
      <sheetName val="코드표"/>
      <sheetName val="機器明細(MC)"/>
      <sheetName val="기타수당"/>
      <sheetName val="연차수당"/>
      <sheetName val="03년 손익"/>
      <sheetName val="기본"/>
      <sheetName val="Sheet2"/>
      <sheetName val="예산M11A"/>
      <sheetName val="매트"/>
      <sheetName val="사이즈"/>
      <sheetName val="용융"/>
      <sheetName val="티슈"/>
      <sheetName val="지부전체"/>
      <sheetName val="준검 내역서"/>
      <sheetName val="포장"/>
      <sheetName val="거래선유형"/>
      <sheetName val="PATENT"/>
      <sheetName val="건재0001"/>
      <sheetName val="차수"/>
      <sheetName val="일위대가목록"/>
      <sheetName val="정보매체A동"/>
      <sheetName val="재정"/>
      <sheetName val="TTT"/>
      <sheetName val="일위대가"/>
      <sheetName val="2012년경영자면담자료.xlsx"/>
      <sheetName val="S"/>
      <sheetName val="울산(코드별규격)"/>
      <sheetName val="보증금(판)"/>
      <sheetName val="판1부"/>
      <sheetName val="월별수입"/>
      <sheetName val="조명일위"/>
      <sheetName val="로봇소프트플랫폼_기술분류"/>
      <sheetName val="운영자금차입금"/>
      <sheetName val="주별납기"/>
      <sheetName val="세부(종합)"/>
      <sheetName val="과제"/>
      <sheetName val="생산판매재고"/>
      <sheetName val="미확인"/>
      <sheetName val="현재담보"/>
      <sheetName val="1과"/>
      <sheetName val="9월누계(산지계)"/>
      <sheetName val="2"/>
      <sheetName val="가설재손료"/>
      <sheetName val="인원계획"/>
      <sheetName val="참고.반영율"/>
      <sheetName val="연료비입력"/>
      <sheetName val="과단위"/>
      <sheetName val="판매일반"/>
      <sheetName val="MOTOR"/>
      <sheetName val="TOTAL"/>
      <sheetName val="정공공사"/>
      <sheetName val="개요"/>
      <sheetName val="기안"/>
      <sheetName val="마케팅"/>
      <sheetName val="목차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캔개발배경"/>
      <sheetName val="캔판매목표"/>
      <sheetName val="시장"/>
      <sheetName val="일정표"/>
      <sheetName val="고정자산"/>
      <sheetName val="매출원가추정"/>
      <sheetName val="매출추정"/>
      <sheetName val="방정식그래프"/>
      <sheetName val="SurveyTotals"/>
      <sheetName val="지급자재"/>
      <sheetName val="2003년 합계"/>
      <sheetName val="변경내역대비표(2)"/>
      <sheetName val="총괄표"/>
      <sheetName val="실행내역서(DCU)"/>
      <sheetName val="KCB단가코드"/>
      <sheetName val="보증금(전신전화가입권)"/>
      <sheetName val="미착기계"/>
      <sheetName val="대전-교대(A1-A2)"/>
      <sheetName val="실적(2안)"/>
      <sheetName val=" 갑지"/>
      <sheetName val="특판단가표"/>
      <sheetName val="손익11"/>
      <sheetName val="재고"/>
      <sheetName val="그래프"/>
      <sheetName val="3.현황(창호_라미)"/>
      <sheetName val="3.현황(내외장재_상재)"/>
      <sheetName val="두께별"/>
      <sheetName val=" Global Top (2012-03-06).xlsx"/>
      <sheetName val="출금실적"/>
      <sheetName val="재무현황"/>
      <sheetName val="3.붙이기"/>
      <sheetName val="판매추정"/>
      <sheetName val="토지면적"/>
      <sheetName val="1인당GDP"/>
      <sheetName val="시도별추계인구"/>
      <sheetName val="미착재고현황전주"/>
      <sheetName val="6월보고실적현황"/>
      <sheetName val="기초일위"/>
      <sheetName val="시설일위"/>
      <sheetName val="내역"/>
      <sheetName val="패티"/>
      <sheetName val="소스"/>
      <sheetName val="을-ATYPE"/>
      <sheetName val="금강투자2000"/>
      <sheetName val="부서"/>
      <sheetName val="인상효1"/>
      <sheetName val="창호이맥스"/>
      <sheetName val="담보"/>
      <sheetName val="유리이맥스"/>
      <sheetName val="배합변경_1"/>
      <sheetName val="품질경영"/>
      <sheetName val="참고"/>
      <sheetName val="관할"/>
      <sheetName val="12"/>
      <sheetName val="품의서"/>
      <sheetName val="3.제품군별 실적(보고용)"/>
      <sheetName val="삼성(당산)월하반기"/>
      <sheetName val="신제품1"/>
      <sheetName val="10월계획"/>
      <sheetName val="추가예산"/>
      <sheetName val="총원"/>
      <sheetName val="자동차표"/>
      <sheetName val="성형자료"/>
      <sheetName val="4월정산"/>
      <sheetName val="3월정산"/>
      <sheetName val="7월정산(8월)전체"/>
      <sheetName val="8월씨마크"/>
      <sheetName val="10월정산(9월사용-1)"/>
      <sheetName val="wall"/>
      <sheetName val="Front"/>
      <sheetName val="최종가공"/>
      <sheetName val="지역별수출"/>
      <sheetName val="참조1"/>
      <sheetName val="C11F"/>
      <sheetName val="GRACE"/>
      <sheetName val="tt-RESIN"/>
      <sheetName val="출고 자료합계(원본)"/>
      <sheetName val="동해title"/>
      <sheetName val="집계표(육상)"/>
      <sheetName val="9906"/>
      <sheetName val="2013년누계불량채권"/>
      <sheetName val="2013년누계"/>
      <sheetName val="R&amp;D"/>
      <sheetName val="해외"/>
      <sheetName val="연돌일위집계"/>
      <sheetName val="수선계획표"/>
      <sheetName val="매출"/>
      <sheetName val="이맥스"/>
      <sheetName val="신제품3"/>
      <sheetName val="참조"/>
      <sheetName val="직노"/>
      <sheetName val="h-013211-2"/>
      <sheetName val="코드"/>
      <sheetName val="철콘(승대건설)"/>
      <sheetName val="BASE보유"/>
      <sheetName val="참조자료"/>
      <sheetName val="B"/>
      <sheetName val="상용"/>
      <sheetName val="골조시행"/>
      <sheetName val="기초자료"/>
      <sheetName val="견적집계표"/>
      <sheetName val="1인당매출"/>
      <sheetName val="변경증감내역서"/>
      <sheetName val="10월예약현황(씨마크)"/>
      <sheetName val="배합비(99-06-15)"/>
      <sheetName val="석고보드"/>
      <sheetName val="능율"/>
      <sheetName val="석고보드(3호기)"/>
      <sheetName val="홈씨씨 기존 제상품 매출 거래선 LIST"/>
      <sheetName val="2-2.매출분석"/>
      <sheetName val="집계표"/>
      <sheetName val="학력조회"/>
      <sheetName val="200005"/>
      <sheetName val="감축 아이템"/>
      <sheetName val="2000년 신제품 내역"/>
      <sheetName val="세부추진"/>
      <sheetName val="상용_mp"/>
      <sheetName val="2월판매"/>
      <sheetName val="차액보증"/>
      <sheetName val="관리전폭"/>
      <sheetName val="전체"/>
      <sheetName val="Sheet3"/>
      <sheetName val="지질조사"/>
      <sheetName val="3.수익성향상"/>
      <sheetName val="기술자문 현재진행인력(기존+신규)"/>
      <sheetName val="CAT_5"/>
      <sheetName val="사업소득자세수추계"/>
      <sheetName val="★원자재작업용"/>
      <sheetName val="필름(100826)"/>
      <sheetName val="보강재작업용"/>
      <sheetName val="★가격표(2011.03)"/>
      <sheetName val="제품구분"/>
      <sheetName val="200101"/>
      <sheetName val="한강운반비"/>
      <sheetName val="생산일정"/>
      <sheetName val="일위대가표"/>
      <sheetName val="단위원가"/>
      <sheetName val="원단위 산출"/>
      <sheetName val="고정비 내역"/>
      <sheetName val="변동비 내역"/>
      <sheetName val="1차설계변경내역"/>
      <sheetName val="운반"/>
      <sheetName val=" 10개년 장기 판매계획 양식.xlsx"/>
      <sheetName val=" 장기재고 현황 (6월).xlsx"/>
      <sheetName val="변경"/>
      <sheetName val="Tbom-tot"/>
      <sheetName val="작성기준"/>
      <sheetName val="95D"/>
      <sheetName val="94D"/>
      <sheetName val="예산입력(전)"/>
      <sheetName val="현황보고"/>
      <sheetName val="계획담당자참고"/>
      <sheetName val="Code(전체)"/>
      <sheetName val="★15년 기능직 인센티브 지급안(15.10.13)-최종("/>
      <sheetName val=" ◎2016년 기본예산 공장 - 투자 집계-2016022"/>
      <sheetName val=" 2.건설사별 품목별 연도별 실적(9월3주차)_건설상품("/>
      <sheetName val=" 장외영향평가 진행 사항.xlsx"/>
      <sheetName val="실행철강하도"/>
      <sheetName val="동재"/>
      <sheetName val="GEUB "/>
      <sheetName val="본문"/>
      <sheetName val="공비대비"/>
      <sheetName val="2002-12"/>
      <sheetName val="2003-01"/>
      <sheetName val="★14 기본투자예산_ver3(신설수지 추가).xlsx"/>
      <sheetName val="물량투입계획"/>
      <sheetName val="FC-101"/>
      <sheetName val="Sheet1 (2)"/>
      <sheetName val="3월"/>
      <sheetName val="1분기보증금산정"/>
      <sheetName val="기능인사자료"/>
      <sheetName val="전부서공통"/>
      <sheetName val="공문"/>
      <sheetName val="설계조건"/>
      <sheetName val="경비비교표(예실)"/>
      <sheetName val="조회서"/>
      <sheetName val="자료"/>
      <sheetName val="2공구산출내역"/>
      <sheetName val="실행예산"/>
      <sheetName val="기준데이터"/>
      <sheetName val="시간대별 Dia."/>
      <sheetName val="철근집계표"/>
      <sheetName val="RW"/>
      <sheetName val="갑지"/>
      <sheetName val="실행"/>
      <sheetName val=" 사장님 지시 신규거래선점검('15년 통보양식)-1505"/>
      <sheetName val="INPUT DATA"/>
      <sheetName val="XREF"/>
      <sheetName val="99노임기준"/>
      <sheetName val="계정코드집"/>
      <sheetName val="활동코드집"/>
      <sheetName val="_________________15________15_2"/>
      <sheetName val="_____지시_신__래선점___15___보양식__15_2"/>
      <sheetName val="원재료비"/>
      <sheetName val=" 견적서"/>
      <sheetName val="인벤토리총괄표"/>
      <sheetName val="SV SPEC."/>
      <sheetName val="작업추진 계획(일정)"/>
      <sheetName val="FY2006 KCC UP"/>
      <sheetName val="제품(수출)매출"/>
      <sheetName val="상품매출"/>
      <sheetName val="재고 "/>
      <sheetName val="01월실적값복사"/>
      <sheetName val="01월예산값복사"/>
      <sheetName val="주문량"/>
      <sheetName val="이송중"/>
      <sheetName val="이토변실"/>
      <sheetName val="기준사항"/>
      <sheetName val="참조셀삭제금지"/>
      <sheetName val="[9805허가.xls][9805허가.xls]A__98_6"/>
      <sheetName val="[9805허가.xls][9805허가.xls]A__98_3"/>
      <sheetName val="맨홀수량산출"/>
      <sheetName val="안정계산"/>
      <sheetName val="단면검토"/>
      <sheetName val="1호인버트수량"/>
      <sheetName val="2004생산량"/>
      <sheetName val="원재료단가"/>
      <sheetName val="DHEQSUPT"/>
      <sheetName val="가격"/>
      <sheetName val="1995년 섹터별 매출"/>
      <sheetName val="센스타일,강화마루 운영(안).xlsx"/>
      <sheetName val="대비2"/>
      <sheetName val="고려성적"/>
      <sheetName val="[9805허가.xls][9805허가.xls]A__98_2"/>
      <sheetName val="[9805허가.xls][9805허가.xls]A__98_7"/>
      <sheetName val="[9805허가.xls][9805허가.xls]A__98_4"/>
      <sheetName val="[9805허가.xls][9805허가.xls]A__98_5"/>
      <sheetName val="[9805허가.xls][9805허가.xls]A__98_8"/>
      <sheetName val="건설사&amp;지역구분 "/>
      <sheetName val="1사분기신규단가"/>
      <sheetName val="2사분기단가"/>
      <sheetName val="Drop downs"/>
      <sheetName val=" 2015년 예산통합 시트 (2015-01차).xlsx"/>
      <sheetName val="__BANGBANG______splan_stanley_2"/>
      <sheetName val="CAUDIT"/>
      <sheetName val="이름정의"/>
      <sheetName val="이름정의2"/>
      <sheetName val="11월사업계획대실적"/>
      <sheetName val="부도어음"/>
      <sheetName val="주간계획"/>
      <sheetName val="울산1"/>
      <sheetName val="울산2"/>
      <sheetName val="전주2"/>
      <sheetName val="00예상실적"/>
      <sheetName val="Kimdh"/>
      <sheetName val="첨부_특허list(35)"/>
      <sheetName val="거래처별매출액(0306)"/>
      <sheetName val="공사비_NDE"/>
      <sheetName val="항목"/>
      <sheetName val="대차확인"/>
      <sheetName val="지수"/>
      <sheetName val="CMC ellipse5t ab"/>
      <sheetName val=" 수출팀 이관거래선.xlsx"/>
      <sheetName val="건축-물가변동"/>
      <sheetName val="code"/>
      <sheetName val="년근태"/>
      <sheetName val="재고자산미실현이익제거"/>
    </sheetNames>
    <sheetDataSet>
      <sheetData sheetId="0"/>
      <sheetData sheetId="1">
        <row r="4">
          <cell r="D4">
            <v>17609</v>
          </cell>
        </row>
      </sheetData>
      <sheetData sheetId="2">
        <row r="4">
          <cell r="D4">
            <v>17609</v>
          </cell>
        </row>
      </sheetData>
      <sheetData sheetId="3">
        <row r="4">
          <cell r="D4">
            <v>17609</v>
          </cell>
        </row>
      </sheetData>
      <sheetData sheetId="4">
        <row r="4">
          <cell r="D4">
            <v>17609</v>
          </cell>
        </row>
      </sheetData>
      <sheetData sheetId="5">
        <row r="4">
          <cell r="D4">
            <v>17609</v>
          </cell>
        </row>
      </sheetData>
      <sheetData sheetId="6">
        <row r="4">
          <cell r="D4">
            <v>17609</v>
          </cell>
        </row>
      </sheetData>
      <sheetData sheetId="7">
        <row r="4">
          <cell r="D4">
            <v>17609</v>
          </cell>
        </row>
      </sheetData>
      <sheetData sheetId="8">
        <row r="4">
          <cell r="D4">
            <v>17609</v>
          </cell>
        </row>
      </sheetData>
      <sheetData sheetId="9">
        <row r="4">
          <cell r="D4">
            <v>17609</v>
          </cell>
        </row>
      </sheetData>
      <sheetData sheetId="10">
        <row r="4">
          <cell r="D4">
            <v>17609</v>
          </cell>
        </row>
      </sheetData>
      <sheetData sheetId="11">
        <row r="4">
          <cell r="D4">
            <v>17609</v>
          </cell>
        </row>
      </sheetData>
      <sheetData sheetId="12">
        <row r="4">
          <cell r="D4">
            <v>17609</v>
          </cell>
        </row>
      </sheetData>
      <sheetData sheetId="13" refreshError="1">
        <row r="4">
          <cell r="D4">
            <v>17609</v>
          </cell>
        </row>
        <row r="5">
          <cell r="D5">
            <v>21024</v>
          </cell>
        </row>
        <row r="6">
          <cell r="D6">
            <v>26344</v>
          </cell>
        </row>
        <row r="7">
          <cell r="D7">
            <v>30634</v>
          </cell>
        </row>
        <row r="8">
          <cell r="D8">
            <v>41107</v>
          </cell>
        </row>
        <row r="9">
          <cell r="D9">
            <v>45493</v>
          </cell>
        </row>
        <row r="10">
          <cell r="D10">
            <v>46124</v>
          </cell>
        </row>
        <row r="11">
          <cell r="D11">
            <v>39933</v>
          </cell>
        </row>
        <row r="12">
          <cell r="D12">
            <v>48491</v>
          </cell>
        </row>
        <row r="13">
          <cell r="D13">
            <v>52834</v>
          </cell>
        </row>
        <row r="14">
          <cell r="D14">
            <v>54714</v>
          </cell>
        </row>
        <row r="15">
          <cell r="D15">
            <v>52757</v>
          </cell>
        </row>
        <row r="16">
          <cell r="D16">
            <v>50697</v>
          </cell>
        </row>
      </sheetData>
      <sheetData sheetId="14">
        <row r="4">
          <cell r="D4">
            <v>17609</v>
          </cell>
        </row>
      </sheetData>
      <sheetData sheetId="15">
        <row r="4">
          <cell r="D4">
            <v>17609</v>
          </cell>
        </row>
      </sheetData>
      <sheetData sheetId="16">
        <row r="4">
          <cell r="D4">
            <v>17609</v>
          </cell>
        </row>
      </sheetData>
      <sheetData sheetId="17">
        <row r="4">
          <cell r="D4">
            <v>17609</v>
          </cell>
        </row>
      </sheetData>
      <sheetData sheetId="18">
        <row r="4">
          <cell r="D4">
            <v>17609</v>
          </cell>
        </row>
      </sheetData>
      <sheetData sheetId="19">
        <row r="4">
          <cell r="D4">
            <v>17609</v>
          </cell>
        </row>
      </sheetData>
      <sheetData sheetId="20">
        <row r="4">
          <cell r="D4">
            <v>17609</v>
          </cell>
        </row>
      </sheetData>
      <sheetData sheetId="21">
        <row r="4">
          <cell r="D4">
            <v>17609</v>
          </cell>
        </row>
      </sheetData>
      <sheetData sheetId="22">
        <row r="4">
          <cell r="D4">
            <v>17609</v>
          </cell>
        </row>
      </sheetData>
      <sheetData sheetId="23">
        <row r="4">
          <cell r="D4">
            <v>17609</v>
          </cell>
        </row>
      </sheetData>
      <sheetData sheetId="24">
        <row r="4">
          <cell r="D4">
            <v>17609</v>
          </cell>
        </row>
      </sheetData>
      <sheetData sheetId="25">
        <row r="4">
          <cell r="D4">
            <v>17609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근거"/>
      <sheetName val="총시장(확정)"/>
      <sheetName val="00예상실적"/>
      <sheetName val="전체"/>
      <sheetName val="수출"/>
      <sheetName val="내수"/>
      <sheetName val="95년기준조정"/>
      <sheetName val="지표"/>
      <sheetName val="Sheet4"/>
      <sheetName val="비주거용"/>
      <sheetName val="일위대가표"/>
      <sheetName val="조선용암면"/>
      <sheetName val="건설성적"/>
      <sheetName val="LAB설비"/>
      <sheetName val="KPI(전산)"/>
      <sheetName val="00실적"/>
      <sheetName val="리피니쉬총시장(0807)"/>
      <sheetName val="4과 거래선별 판매 계획"/>
      <sheetName val="5과 거래선별 판매 계획"/>
      <sheetName val="CON'C"/>
      <sheetName val="통계자료"/>
      <sheetName val="집계양식"/>
      <sheetName val="GC산출"/>
      <sheetName val="수리결과"/>
      <sheetName val="부재예실"/>
      <sheetName val="출장거리"/>
      <sheetName val="1"/>
      <sheetName val="주간예상실적(공업)"/>
      <sheetName val="견적집계표"/>
      <sheetName val="고정자산"/>
      <sheetName val="매출원가추정"/>
      <sheetName val="매출추정"/>
      <sheetName val="건축허가착공정리"/>
      <sheetName val="공사실적"/>
      <sheetName val="자동차등록"/>
      <sheetName val="지표정리"/>
      <sheetName val="Sheet3"/>
      <sheetName val="지표정리-정리"/>
      <sheetName val="건축허가착공"/>
      <sheetName val="카메라2"/>
      <sheetName val="Finished Goods "/>
      <sheetName val="골조시행"/>
      <sheetName val="5사남"/>
      <sheetName val="소방"/>
      <sheetName val="1과"/>
      <sheetName val="DATA"/>
      <sheetName val="열관류율●"/>
      <sheetName val="fud"/>
      <sheetName val="건    재"/>
      <sheetName val="판매일반"/>
      <sheetName val="개설수"/>
      <sheetName val="데이타"/>
      <sheetName val="Front"/>
      <sheetName val="wall"/>
      <sheetName val="예산실적전체당월"/>
      <sheetName val="출금실적"/>
      <sheetName val="투자예산"/>
      <sheetName val="부서"/>
      <sheetName val="6월"/>
      <sheetName val="계정부서"/>
      <sheetName val="부재예실1월"/>
      <sheetName val="3월"/>
      <sheetName val="단가"/>
      <sheetName val="생산판매재고"/>
      <sheetName val="소개"/>
      <sheetName val="배합비(2,3.4분기)"/>
      <sheetName val="Sheet1"/>
      <sheetName val="1월"/>
      <sheetName val="제품원재"/>
      <sheetName val="물량표"/>
      <sheetName val="전년실적"/>
      <sheetName val="지역별수출"/>
      <sheetName val="tvr320"/>
      <sheetName val="제안서"/>
      <sheetName val="행정표준(1)"/>
      <sheetName val="행정표준(2)"/>
      <sheetName val="추가예산"/>
      <sheetName val="본문"/>
      <sheetName val="월별수입"/>
      <sheetName val="Sheet2"/>
      <sheetName val="배합변경_1"/>
      <sheetName val="품질경영"/>
      <sheetName val="준검 내역서"/>
      <sheetName val="Sheet4 (2)"/>
      <sheetName val="공문"/>
      <sheetName val="자금운용계획표"/>
      <sheetName val="교수설계"/>
      <sheetName val="2003년 합계"/>
      <sheetName val="배합비(99-05-25)"/>
      <sheetName val="1을"/>
      <sheetName val="원재료비 UP-DATE"/>
      <sheetName val="PDP"/>
      <sheetName val="미지급금"/>
      <sheetName val="PATENT"/>
      <sheetName val="MOTOR"/>
      <sheetName val="機器明細(MC)"/>
      <sheetName val="기초자료"/>
      <sheetName val="OD5000"/>
      <sheetName val="MC산출근거"/>
      <sheetName val="MISCELLANIOUS"/>
      <sheetName val="동해title"/>
      <sheetName val="원하대비"/>
      <sheetName val="원도급"/>
      <sheetName val="하도급"/>
      <sheetName val="로봇소프트플랫폼_기술분류"/>
      <sheetName val="BASE"/>
      <sheetName val="단가대비표"/>
      <sheetName val="부서별집계"/>
      <sheetName val="근태시간"/>
      <sheetName val="참고.반영율"/>
      <sheetName val="권역,사업부"/>
      <sheetName val="#REF"/>
      <sheetName val="보증금"/>
      <sheetName val="산정(1부)"/>
      <sheetName val="당월실적"/>
      <sheetName val="수량산출"/>
      <sheetName val="누계 내외장재 비율"/>
      <sheetName val="97년 추정"/>
      <sheetName val="건재0001"/>
      <sheetName val="보증금(창)"/>
      <sheetName val="산정"/>
      <sheetName val="전년실적(창)"/>
      <sheetName val="11가공(유형구분)"/>
      <sheetName val="기준데이터"/>
      <sheetName val="Total DFT Input"/>
      <sheetName val="Shadow"/>
      <sheetName val="Serial No."/>
      <sheetName val="식재인부"/>
      <sheetName val="tt-RESIN"/>
      <sheetName val="3.수익성향상"/>
      <sheetName val="2-8"/>
      <sheetName val="이자율"/>
      <sheetName val="단면가정"/>
      <sheetName val="설계조건"/>
      <sheetName val="경비"/>
      <sheetName val="일반"/>
    </sheetNames>
    <sheetDataSet>
      <sheetData sheetId="0">
        <row r="6">
          <cell r="BF6">
            <v>2255.4669137188557</v>
          </cell>
        </row>
        <row r="7">
          <cell r="BF7">
            <v>2657.3932912949863</v>
          </cell>
        </row>
        <row r="8">
          <cell r="BF8">
            <v>3127.6609537065519</v>
          </cell>
        </row>
        <row r="9">
          <cell r="BF9">
            <v>3499.070780144571</v>
          </cell>
        </row>
        <row r="10">
          <cell r="BF10">
            <v>3761.7015461396495</v>
          </cell>
        </row>
        <row r="11">
          <cell r="BF11">
            <v>3857.2883164410955</v>
          </cell>
        </row>
        <row r="12">
          <cell r="BF12">
            <v>4168.7049999999999</v>
          </cell>
        </row>
        <row r="13">
          <cell r="BF13">
            <v>2805.4069999999997</v>
          </cell>
        </row>
        <row r="14">
          <cell r="BF14">
            <v>4094.3349999999996</v>
          </cell>
        </row>
        <row r="15">
          <cell r="BF15">
            <v>5229.71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2-과별-거래선별-담당자별-월별-06실-07계실"/>
      <sheetName val="유형08년"/>
      <sheetName val="참조3-과별-사업부별-유형별-월별-06실-07계실"/>
      <sheetName val="참조6-유형타입"/>
      <sheetName val="계획08"/>
      <sheetName val="08년기본데이타"/>
      <sheetName val="부재예실"/>
      <sheetName val="산출근거"/>
      <sheetName val="4과 거래선별 판매 계획"/>
      <sheetName val="5과 거래선별 판매 계획"/>
      <sheetName val="조선용암면"/>
      <sheetName val="비주거용"/>
      <sheetName val="리빙가구 단가표"/>
      <sheetName val="일반가구 단가표"/>
      <sheetName val="주방가구 상품기기"/>
      <sheetName val="주방가구 단가표"/>
      <sheetName val="사진목록"/>
      <sheetName val="주방도면"/>
      <sheetName val="도료2008년 계획검토(4과)"/>
    </sheetNames>
    <sheetDataSet>
      <sheetData sheetId="0"/>
      <sheetData sheetId="1"/>
      <sheetData sheetId="2"/>
      <sheetData sheetId="3"/>
      <sheetData sheetId="4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</row>
        <row r="2">
          <cell r="A2" t="str">
            <v>기준</v>
          </cell>
          <cell r="B2" t="str">
            <v>거래선명</v>
          </cell>
          <cell r="C2" t="str">
            <v>연간물량</v>
          </cell>
          <cell r="D2" t="str">
            <v>연간금액</v>
          </cell>
          <cell r="E2" t="str">
            <v>1물량</v>
          </cell>
          <cell r="F2" t="str">
            <v>1금액</v>
          </cell>
          <cell r="G2" t="str">
            <v>2물량</v>
          </cell>
          <cell r="H2" t="str">
            <v>2금액</v>
          </cell>
          <cell r="I2" t="str">
            <v>3물량</v>
          </cell>
          <cell r="J2" t="str">
            <v>3금액</v>
          </cell>
          <cell r="K2" t="str">
            <v>4물량</v>
          </cell>
          <cell r="L2" t="str">
            <v>4금액</v>
          </cell>
          <cell r="M2" t="str">
            <v>5물량</v>
          </cell>
          <cell r="N2" t="str">
            <v>5금액</v>
          </cell>
          <cell r="O2" t="str">
            <v>6물량</v>
          </cell>
          <cell r="P2" t="str">
            <v>6금액</v>
          </cell>
          <cell r="Q2" t="str">
            <v>7물량</v>
          </cell>
          <cell r="R2" t="str">
            <v>7금액</v>
          </cell>
          <cell r="S2" t="str">
            <v>8물량</v>
          </cell>
          <cell r="T2" t="str">
            <v>8금액</v>
          </cell>
          <cell r="U2" t="str">
            <v>9물량</v>
          </cell>
          <cell r="V2" t="str">
            <v>9금액</v>
          </cell>
          <cell r="W2" t="str">
            <v>10물량</v>
          </cell>
          <cell r="X2" t="str">
            <v>10금액</v>
          </cell>
          <cell r="Y2" t="str">
            <v>11물량</v>
          </cell>
          <cell r="Z2" t="str">
            <v>11금액</v>
          </cell>
          <cell r="AA2" t="str">
            <v>12물량</v>
          </cell>
          <cell r="AB2" t="str">
            <v>12금액</v>
          </cell>
        </row>
        <row r="3">
          <cell r="A3" t="str">
            <v>24493654</v>
          </cell>
          <cell r="B3" t="str">
            <v>(유)대동 수원지점</v>
          </cell>
          <cell r="C3">
            <v>20374</v>
          </cell>
          <cell r="D3">
            <v>127150.15300000002</v>
          </cell>
          <cell r="E3">
            <v>1960</v>
          </cell>
          <cell r="F3">
            <v>11609.692999999999</v>
          </cell>
          <cell r="G3">
            <v>1607</v>
          </cell>
          <cell r="H3">
            <v>9791.0130000000008</v>
          </cell>
          <cell r="I3">
            <v>1627</v>
          </cell>
          <cell r="J3">
            <v>10597.815000000001</v>
          </cell>
          <cell r="K3">
            <v>1664</v>
          </cell>
          <cell r="L3">
            <v>11074.596</v>
          </cell>
          <cell r="M3">
            <v>1659</v>
          </cell>
          <cell r="N3">
            <v>10210.546</v>
          </cell>
          <cell r="O3">
            <v>1756</v>
          </cell>
          <cell r="P3">
            <v>10775.18</v>
          </cell>
          <cell r="Q3">
            <v>1303</v>
          </cell>
          <cell r="R3">
            <v>8887.366</v>
          </cell>
          <cell r="S3">
            <v>1593</v>
          </cell>
          <cell r="T3">
            <v>10100.5</v>
          </cell>
          <cell r="U3">
            <v>1744</v>
          </cell>
          <cell r="V3">
            <v>10292.457999999999</v>
          </cell>
          <cell r="W3">
            <v>1670</v>
          </cell>
          <cell r="X3">
            <v>11494.668</v>
          </cell>
          <cell r="Y3">
            <v>1725</v>
          </cell>
          <cell r="Z3">
            <v>10709.848</v>
          </cell>
          <cell r="AA3">
            <v>2067</v>
          </cell>
          <cell r="AB3">
            <v>11606.47</v>
          </cell>
          <cell r="AC3" t="e">
            <v>#REF!</v>
          </cell>
        </row>
        <row r="4">
          <cell r="A4" t="str">
            <v>00452548</v>
          </cell>
          <cell r="B4" t="str">
            <v>(자)융신기업</v>
          </cell>
          <cell r="C4">
            <v>45301</v>
          </cell>
          <cell r="D4">
            <v>271060.16099999996</v>
          </cell>
          <cell r="E4">
            <v>3173</v>
          </cell>
          <cell r="F4">
            <v>20461.206000000002</v>
          </cell>
          <cell r="G4">
            <v>2307</v>
          </cell>
          <cell r="H4">
            <v>15403.253999999999</v>
          </cell>
          <cell r="I4">
            <v>3395</v>
          </cell>
          <cell r="J4">
            <v>21160.035</v>
          </cell>
          <cell r="K4">
            <v>3661</v>
          </cell>
          <cell r="L4">
            <v>21185.767999999996</v>
          </cell>
          <cell r="M4">
            <v>3738</v>
          </cell>
          <cell r="N4">
            <v>23272.858</v>
          </cell>
          <cell r="O4">
            <v>3294</v>
          </cell>
          <cell r="P4">
            <v>20401.616999999998</v>
          </cell>
          <cell r="Q4">
            <v>3779</v>
          </cell>
          <cell r="R4">
            <v>20978.785000000003</v>
          </cell>
          <cell r="S4">
            <v>3184</v>
          </cell>
          <cell r="T4">
            <v>20781.125999999997</v>
          </cell>
          <cell r="U4">
            <v>6604</v>
          </cell>
          <cell r="V4">
            <v>35006.566000000006</v>
          </cell>
          <cell r="W4">
            <v>4787</v>
          </cell>
          <cell r="X4">
            <v>28317.827999999998</v>
          </cell>
          <cell r="Y4">
            <v>3914</v>
          </cell>
          <cell r="Z4">
            <v>23629.191999999999</v>
          </cell>
          <cell r="AA4">
            <v>3468</v>
          </cell>
          <cell r="AB4">
            <v>20461.925999999996</v>
          </cell>
          <cell r="AC4" t="e">
            <v>#REF!</v>
          </cell>
        </row>
        <row r="5">
          <cell r="A5" t="str">
            <v>00506412</v>
          </cell>
          <cell r="B5" t="str">
            <v>(자)이화해업</v>
          </cell>
          <cell r="C5">
            <v>2661</v>
          </cell>
          <cell r="D5">
            <v>11288.743</v>
          </cell>
          <cell r="E5">
            <v>9</v>
          </cell>
          <cell r="F5">
            <v>78.25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1213</v>
          </cell>
          <cell r="L5">
            <v>5859.6509999999998</v>
          </cell>
          <cell r="M5">
            <v>0</v>
          </cell>
          <cell r="N5">
            <v>0</v>
          </cell>
          <cell r="O5">
            <v>255</v>
          </cell>
          <cell r="P5">
            <v>883.02199999999993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479</v>
          </cell>
          <cell r="V5">
            <v>1357.414</v>
          </cell>
          <cell r="W5">
            <v>300</v>
          </cell>
          <cell r="X5">
            <v>881.56899999999996</v>
          </cell>
          <cell r="Y5">
            <v>88</v>
          </cell>
          <cell r="Z5">
            <v>242.93299999999999</v>
          </cell>
          <cell r="AA5">
            <v>321</v>
          </cell>
          <cell r="AB5">
            <v>1985.9039999999998</v>
          </cell>
          <cell r="AC5" t="e">
            <v>#REF!</v>
          </cell>
        </row>
        <row r="6">
          <cell r="A6" t="str">
            <v>51781147</v>
          </cell>
          <cell r="B6" t="str">
            <v>(주) 승명산업</v>
          </cell>
          <cell r="C6">
            <v>48014</v>
          </cell>
          <cell r="D6">
            <v>163600.83399999989</v>
          </cell>
          <cell r="E6">
            <v>2334</v>
          </cell>
          <cell r="F6">
            <v>10872.108999999999</v>
          </cell>
          <cell r="G6">
            <v>2016</v>
          </cell>
          <cell r="H6">
            <v>9274.3799999999992</v>
          </cell>
          <cell r="I6">
            <v>3744</v>
          </cell>
          <cell r="J6">
            <v>13778.668</v>
          </cell>
          <cell r="K6">
            <v>4533</v>
          </cell>
          <cell r="L6">
            <v>16093.123999999996</v>
          </cell>
          <cell r="M6">
            <v>5555</v>
          </cell>
          <cell r="N6">
            <v>15489.448999999999</v>
          </cell>
          <cell r="O6">
            <v>4021</v>
          </cell>
          <cell r="P6">
            <v>13499.662000000004</v>
          </cell>
          <cell r="Q6">
            <v>3802</v>
          </cell>
          <cell r="R6">
            <v>11546.405000000002</v>
          </cell>
          <cell r="S6">
            <v>4733</v>
          </cell>
          <cell r="T6">
            <v>13023.773999999999</v>
          </cell>
          <cell r="U6">
            <v>5246</v>
          </cell>
          <cell r="V6">
            <v>19519.053000000004</v>
          </cell>
          <cell r="W6">
            <v>4232</v>
          </cell>
          <cell r="X6">
            <v>15474.15</v>
          </cell>
          <cell r="Y6">
            <v>3009</v>
          </cell>
          <cell r="Z6">
            <v>12207.315000000001</v>
          </cell>
          <cell r="AA6">
            <v>4800</v>
          </cell>
          <cell r="AB6">
            <v>12822.745000000001</v>
          </cell>
          <cell r="AC6" t="e">
            <v>#REF!</v>
          </cell>
        </row>
        <row r="7">
          <cell r="A7" t="str">
            <v>50787954</v>
          </cell>
          <cell r="B7" t="str">
            <v>(주) 엘피시스템</v>
          </cell>
          <cell r="C7">
            <v>1504</v>
          </cell>
          <cell r="D7">
            <v>21735.792000000001</v>
          </cell>
          <cell r="E7">
            <v>115</v>
          </cell>
          <cell r="F7">
            <v>1268.625</v>
          </cell>
          <cell r="G7">
            <v>59</v>
          </cell>
          <cell r="H7">
            <v>783.13</v>
          </cell>
          <cell r="I7">
            <v>116</v>
          </cell>
          <cell r="J7">
            <v>1585.165</v>
          </cell>
          <cell r="K7">
            <v>0</v>
          </cell>
          <cell r="L7">
            <v>0</v>
          </cell>
          <cell r="M7">
            <v>423</v>
          </cell>
          <cell r="N7">
            <v>7581.4589999999998</v>
          </cell>
          <cell r="O7">
            <v>230</v>
          </cell>
          <cell r="P7">
            <v>2996.6979999999999</v>
          </cell>
          <cell r="Q7">
            <v>242</v>
          </cell>
          <cell r="R7">
            <v>3079.7950000000001</v>
          </cell>
          <cell r="S7">
            <v>158</v>
          </cell>
          <cell r="T7">
            <v>1989.875</v>
          </cell>
          <cell r="U7">
            <v>0</v>
          </cell>
          <cell r="V7">
            <v>0</v>
          </cell>
          <cell r="W7">
            <v>110</v>
          </cell>
          <cell r="X7">
            <v>1708.5150000000001</v>
          </cell>
          <cell r="Y7">
            <v>52</v>
          </cell>
          <cell r="Z7">
            <v>742.53</v>
          </cell>
          <cell r="AA7">
            <v>0</v>
          </cell>
          <cell r="AB7">
            <v>0</v>
          </cell>
          <cell r="AC7" t="e">
            <v>#REF!</v>
          </cell>
        </row>
        <row r="8">
          <cell r="A8" t="str">
            <v>47581645</v>
          </cell>
          <cell r="B8" t="str">
            <v>(주) 청룡산업개발</v>
          </cell>
          <cell r="C8">
            <v>56595</v>
          </cell>
          <cell r="D8">
            <v>116237.857</v>
          </cell>
          <cell r="E8">
            <v>0</v>
          </cell>
          <cell r="F8">
            <v>0</v>
          </cell>
          <cell r="G8">
            <v>440</v>
          </cell>
          <cell r="H8">
            <v>1344.51</v>
          </cell>
          <cell r="I8">
            <v>2313</v>
          </cell>
          <cell r="J8">
            <v>5293.2330000000002</v>
          </cell>
          <cell r="K8">
            <v>821</v>
          </cell>
          <cell r="L8">
            <v>1012.438</v>
          </cell>
          <cell r="M8">
            <v>10542</v>
          </cell>
          <cell r="N8">
            <v>21877.441000000003</v>
          </cell>
          <cell r="O8">
            <v>9799</v>
          </cell>
          <cell r="P8">
            <v>24748.451999999997</v>
          </cell>
          <cell r="Q8">
            <v>7941</v>
          </cell>
          <cell r="R8">
            <v>16967.836999999996</v>
          </cell>
          <cell r="S8">
            <v>4241</v>
          </cell>
          <cell r="T8">
            <v>8869.1150000000016</v>
          </cell>
          <cell r="U8">
            <v>7942</v>
          </cell>
          <cell r="V8">
            <v>11316.254999999999</v>
          </cell>
          <cell r="W8">
            <v>10154</v>
          </cell>
          <cell r="X8">
            <v>19435.190999999999</v>
          </cell>
          <cell r="Y8">
            <v>2401</v>
          </cell>
          <cell r="Z8">
            <v>5373.3850000000002</v>
          </cell>
          <cell r="AA8">
            <v>0</v>
          </cell>
          <cell r="AB8">
            <v>0</v>
          </cell>
          <cell r="AC8" t="e">
            <v>#REF!</v>
          </cell>
        </row>
        <row r="9">
          <cell r="A9" t="str">
            <v>49598545</v>
          </cell>
          <cell r="B9" t="str">
            <v>(주)강남코팅</v>
          </cell>
          <cell r="C9">
            <v>95755</v>
          </cell>
          <cell r="D9">
            <v>376952.39100000006</v>
          </cell>
          <cell r="E9">
            <v>4733</v>
          </cell>
          <cell r="F9">
            <v>20601.821000000004</v>
          </cell>
          <cell r="G9">
            <v>2304</v>
          </cell>
          <cell r="H9">
            <v>8290.6749999999993</v>
          </cell>
          <cell r="I9">
            <v>6466</v>
          </cell>
          <cell r="J9">
            <v>24020.130999999998</v>
          </cell>
          <cell r="K9">
            <v>8023</v>
          </cell>
          <cell r="L9">
            <v>27252.067999999996</v>
          </cell>
          <cell r="M9">
            <v>8388</v>
          </cell>
          <cell r="N9">
            <v>29971.659</v>
          </cell>
          <cell r="O9">
            <v>9587</v>
          </cell>
          <cell r="P9">
            <v>35063.985999999997</v>
          </cell>
          <cell r="Q9">
            <v>10132</v>
          </cell>
          <cell r="R9">
            <v>45002.84599999999</v>
          </cell>
          <cell r="S9">
            <v>8658</v>
          </cell>
          <cell r="T9">
            <v>34952.979000000007</v>
          </cell>
          <cell r="U9">
            <v>10167</v>
          </cell>
          <cell r="V9">
            <v>38722.875000000007</v>
          </cell>
          <cell r="W9">
            <v>7840</v>
          </cell>
          <cell r="X9">
            <v>31505.210999999999</v>
          </cell>
          <cell r="Y9">
            <v>11609</v>
          </cell>
          <cell r="Z9">
            <v>44178.846999999994</v>
          </cell>
          <cell r="AA9">
            <v>7855</v>
          </cell>
          <cell r="AB9">
            <v>37389.293000000005</v>
          </cell>
          <cell r="AC9" t="e">
            <v>#REF!</v>
          </cell>
        </row>
        <row r="10">
          <cell r="A10" t="str">
            <v>29568847</v>
          </cell>
          <cell r="B10" t="str">
            <v>(주)건일도장연구소</v>
          </cell>
          <cell r="C10">
            <v>29151</v>
          </cell>
          <cell r="D10">
            <v>91901.55399999996</v>
          </cell>
          <cell r="E10">
            <v>771</v>
          </cell>
          <cell r="F10">
            <v>2251.326</v>
          </cell>
          <cell r="G10">
            <v>849</v>
          </cell>
          <cell r="H10">
            <v>2883.4419999999996</v>
          </cell>
          <cell r="I10">
            <v>3964</v>
          </cell>
          <cell r="J10">
            <v>11347.834000000001</v>
          </cell>
          <cell r="K10">
            <v>1098</v>
          </cell>
          <cell r="L10">
            <v>2887.4940000000001</v>
          </cell>
          <cell r="M10">
            <v>1998</v>
          </cell>
          <cell r="N10">
            <v>8470.6909999999989</v>
          </cell>
          <cell r="O10">
            <v>2768</v>
          </cell>
          <cell r="P10">
            <v>6582.915</v>
          </cell>
          <cell r="Q10">
            <v>4226</v>
          </cell>
          <cell r="R10">
            <v>10164.179</v>
          </cell>
          <cell r="S10">
            <v>2643</v>
          </cell>
          <cell r="T10">
            <v>5862.8390000000009</v>
          </cell>
          <cell r="U10">
            <v>4251</v>
          </cell>
          <cell r="V10">
            <v>11424.144</v>
          </cell>
          <cell r="W10">
            <v>4199</v>
          </cell>
          <cell r="X10">
            <v>15796.91</v>
          </cell>
          <cell r="Y10">
            <v>1274</v>
          </cell>
          <cell r="Z10">
            <v>7421.6669999999995</v>
          </cell>
          <cell r="AA10">
            <v>1107</v>
          </cell>
          <cell r="AB10">
            <v>6808.1130000000003</v>
          </cell>
          <cell r="AC10" t="e">
            <v>#REF!</v>
          </cell>
        </row>
        <row r="11">
          <cell r="A11" t="str">
            <v>24539548</v>
          </cell>
          <cell r="B11" t="str">
            <v>(주)건화상사</v>
          </cell>
          <cell r="C11">
            <v>42924</v>
          </cell>
          <cell r="D11">
            <v>305147.22700000007</v>
          </cell>
          <cell r="E11">
            <v>2492</v>
          </cell>
          <cell r="F11">
            <v>18890.182000000001</v>
          </cell>
          <cell r="G11">
            <v>2896</v>
          </cell>
          <cell r="H11">
            <v>21606.875</v>
          </cell>
          <cell r="I11">
            <v>3817</v>
          </cell>
          <cell r="J11">
            <v>27290.864999999994</v>
          </cell>
          <cell r="K11">
            <v>4063</v>
          </cell>
          <cell r="L11">
            <v>26486.066999999995</v>
          </cell>
          <cell r="M11">
            <v>3330</v>
          </cell>
          <cell r="N11">
            <v>25407.863000000001</v>
          </cell>
          <cell r="O11">
            <v>3836</v>
          </cell>
          <cell r="P11">
            <v>27655.498999999996</v>
          </cell>
          <cell r="Q11">
            <v>3670</v>
          </cell>
          <cell r="R11">
            <v>24832.91</v>
          </cell>
          <cell r="S11">
            <v>3176</v>
          </cell>
          <cell r="T11">
            <v>25553.929000000004</v>
          </cell>
          <cell r="U11">
            <v>4474</v>
          </cell>
          <cell r="V11">
            <v>27803.144000000008</v>
          </cell>
          <cell r="W11">
            <v>3851</v>
          </cell>
          <cell r="X11">
            <v>28282.702000000005</v>
          </cell>
          <cell r="Y11">
            <v>4546</v>
          </cell>
          <cell r="Z11">
            <v>30689.355</v>
          </cell>
          <cell r="AA11">
            <v>2771</v>
          </cell>
          <cell r="AB11">
            <v>20647.835999999999</v>
          </cell>
          <cell r="AC11" t="e">
            <v>#REF!</v>
          </cell>
        </row>
        <row r="12">
          <cell r="A12" t="str">
            <v>51031345</v>
          </cell>
          <cell r="B12" t="str">
            <v>(주)기준건설</v>
          </cell>
          <cell r="C12">
            <v>17826</v>
          </cell>
          <cell r="D12">
            <v>24759.324000000001</v>
          </cell>
          <cell r="E12">
            <v>378</v>
          </cell>
          <cell r="F12">
            <v>953.56299999999999</v>
          </cell>
          <cell r="G12">
            <v>0</v>
          </cell>
          <cell r="H12">
            <v>0</v>
          </cell>
          <cell r="I12">
            <v>4256</v>
          </cell>
          <cell r="J12">
            <v>6120.5769999999993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9456</v>
          </cell>
          <cell r="X12">
            <v>12123.617</v>
          </cell>
          <cell r="Y12">
            <v>3736</v>
          </cell>
          <cell r="Z12">
            <v>5561.567</v>
          </cell>
          <cell r="AA12">
            <v>0</v>
          </cell>
          <cell r="AB12">
            <v>0</v>
          </cell>
          <cell r="AC12" t="e">
            <v>#REF!</v>
          </cell>
        </row>
        <row r="13">
          <cell r="A13" t="str">
            <v>33806445</v>
          </cell>
          <cell r="B13" t="str">
            <v>(주)대한켐이엔씨</v>
          </cell>
          <cell r="C13">
            <v>120904</v>
          </cell>
          <cell r="D13">
            <v>398402.25700000004</v>
          </cell>
          <cell r="E13">
            <v>1852</v>
          </cell>
          <cell r="F13">
            <v>5719.74</v>
          </cell>
          <cell r="G13">
            <v>3338</v>
          </cell>
          <cell r="H13">
            <v>10900.28</v>
          </cell>
          <cell r="I13">
            <v>5223</v>
          </cell>
          <cell r="J13">
            <v>17867.419999999998</v>
          </cell>
          <cell r="K13">
            <v>37483</v>
          </cell>
          <cell r="L13">
            <v>106386.341</v>
          </cell>
          <cell r="M13">
            <v>30611</v>
          </cell>
          <cell r="N13">
            <v>97297.775999999998</v>
          </cell>
          <cell r="O13">
            <v>8093</v>
          </cell>
          <cell r="P13">
            <v>24873.039000000001</v>
          </cell>
          <cell r="Q13">
            <v>3520</v>
          </cell>
          <cell r="R13">
            <v>16077.284</v>
          </cell>
          <cell r="S13">
            <v>6589</v>
          </cell>
          <cell r="T13">
            <v>28018.799999999999</v>
          </cell>
          <cell r="U13">
            <v>6701</v>
          </cell>
          <cell r="V13">
            <v>26132.921999999999</v>
          </cell>
          <cell r="W13">
            <v>8176</v>
          </cell>
          <cell r="X13">
            <v>30088.117000000002</v>
          </cell>
          <cell r="Y13">
            <v>4555</v>
          </cell>
          <cell r="Z13">
            <v>20329.240000000002</v>
          </cell>
          <cell r="AA13">
            <v>4762</v>
          </cell>
          <cell r="AB13">
            <v>14711.297999999999</v>
          </cell>
          <cell r="AC13" t="e">
            <v>#REF!</v>
          </cell>
        </row>
        <row r="14">
          <cell r="A14" t="str">
            <v>33784354</v>
          </cell>
          <cell r="B14" t="str">
            <v>(주)대흥금속</v>
          </cell>
          <cell r="C14">
            <v>106059</v>
          </cell>
          <cell r="D14">
            <v>238708.61600000001</v>
          </cell>
          <cell r="E14">
            <v>7131</v>
          </cell>
          <cell r="F14">
            <v>11809.697</v>
          </cell>
          <cell r="G14">
            <v>6441</v>
          </cell>
          <cell r="H14">
            <v>16183.802</v>
          </cell>
          <cell r="I14">
            <v>8069</v>
          </cell>
          <cell r="J14">
            <v>16721.329000000002</v>
          </cell>
          <cell r="K14">
            <v>8464</v>
          </cell>
          <cell r="L14">
            <v>15862.495000000003</v>
          </cell>
          <cell r="M14">
            <v>9652</v>
          </cell>
          <cell r="N14">
            <v>19207.574000000001</v>
          </cell>
          <cell r="O14">
            <v>14045</v>
          </cell>
          <cell r="P14">
            <v>26825.048999999999</v>
          </cell>
          <cell r="Q14">
            <v>7813</v>
          </cell>
          <cell r="R14">
            <v>18788.784</v>
          </cell>
          <cell r="S14">
            <v>10884</v>
          </cell>
          <cell r="T14">
            <v>22302.127</v>
          </cell>
          <cell r="U14">
            <v>4220</v>
          </cell>
          <cell r="V14">
            <v>12025.045000000002</v>
          </cell>
          <cell r="W14">
            <v>6612</v>
          </cell>
          <cell r="X14">
            <v>12784.82</v>
          </cell>
          <cell r="Y14">
            <v>12768</v>
          </cell>
          <cell r="Z14">
            <v>44540.082999999999</v>
          </cell>
          <cell r="AA14">
            <v>9961</v>
          </cell>
          <cell r="AB14">
            <v>21657.811000000002</v>
          </cell>
          <cell r="AC14" t="e">
            <v>#REF!</v>
          </cell>
        </row>
        <row r="15">
          <cell r="A15" t="str">
            <v>00523654</v>
          </cell>
          <cell r="B15" t="str">
            <v>(주)덕성</v>
          </cell>
          <cell r="C15">
            <v>5060</v>
          </cell>
          <cell r="D15">
            <v>27980.616999999998</v>
          </cell>
          <cell r="E15">
            <v>844</v>
          </cell>
          <cell r="F15">
            <v>4494.4399999999996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1216</v>
          </cell>
          <cell r="L15">
            <v>6644.299</v>
          </cell>
          <cell r="M15">
            <v>0</v>
          </cell>
          <cell r="N15">
            <v>0</v>
          </cell>
          <cell r="O15">
            <v>1148</v>
          </cell>
          <cell r="P15">
            <v>6422.451</v>
          </cell>
          <cell r="Q15">
            <v>0</v>
          </cell>
          <cell r="R15">
            <v>0</v>
          </cell>
          <cell r="S15">
            <v>808</v>
          </cell>
          <cell r="T15">
            <v>4558.0339999999997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1043</v>
          </cell>
          <cell r="Z15">
            <v>5861.393</v>
          </cell>
          <cell r="AA15">
            <v>0</v>
          </cell>
          <cell r="AB15">
            <v>0</v>
          </cell>
          <cell r="AC15" t="e">
            <v>#REF!</v>
          </cell>
        </row>
        <row r="16">
          <cell r="A16" t="str">
            <v>00859954</v>
          </cell>
          <cell r="B16" t="str">
            <v>(주)삼미도장</v>
          </cell>
          <cell r="C16">
            <v>57576</v>
          </cell>
          <cell r="D16">
            <v>639284.24599999993</v>
          </cell>
          <cell r="E16">
            <v>7056</v>
          </cell>
          <cell r="F16">
            <v>60692.499000000003</v>
          </cell>
          <cell r="G16">
            <v>2224</v>
          </cell>
          <cell r="H16">
            <v>22899.360999999997</v>
          </cell>
          <cell r="I16">
            <v>5234</v>
          </cell>
          <cell r="J16">
            <v>57148.241999999998</v>
          </cell>
          <cell r="K16">
            <v>4835</v>
          </cell>
          <cell r="L16">
            <v>55297.281999999999</v>
          </cell>
          <cell r="M16">
            <v>4535</v>
          </cell>
          <cell r="N16">
            <v>52309.992000000006</v>
          </cell>
          <cell r="O16">
            <v>6356</v>
          </cell>
          <cell r="P16">
            <v>69716.20199999999</v>
          </cell>
          <cell r="Q16">
            <v>4260</v>
          </cell>
          <cell r="R16">
            <v>50844.976999999999</v>
          </cell>
          <cell r="S16">
            <v>4834</v>
          </cell>
          <cell r="T16">
            <v>57809.434000000001</v>
          </cell>
          <cell r="U16">
            <v>4357</v>
          </cell>
          <cell r="V16">
            <v>51449.737999999998</v>
          </cell>
          <cell r="W16">
            <v>3950</v>
          </cell>
          <cell r="X16">
            <v>50675.373</v>
          </cell>
          <cell r="Y16">
            <v>4058</v>
          </cell>
          <cell r="Z16">
            <v>47259.943999999996</v>
          </cell>
          <cell r="AA16">
            <v>5876</v>
          </cell>
          <cell r="AB16">
            <v>63181.201999999997</v>
          </cell>
          <cell r="AC16" t="e">
            <v>#REF!</v>
          </cell>
        </row>
        <row r="17">
          <cell r="A17" t="str">
            <v>00859973</v>
          </cell>
          <cell r="B17" t="str">
            <v>(주)삼미도장</v>
          </cell>
          <cell r="C17">
            <v>20</v>
          </cell>
          <cell r="D17">
            <v>129.02600000000001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20</v>
          </cell>
          <cell r="R17">
            <v>129.02600000000001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 t="e">
            <v>#REF!</v>
          </cell>
        </row>
        <row r="18">
          <cell r="A18" t="str">
            <v>52048745</v>
          </cell>
          <cell r="B18" t="str">
            <v>(주)성림피에스</v>
          </cell>
          <cell r="C18">
            <v>72318</v>
          </cell>
          <cell r="D18">
            <v>237870.924</v>
          </cell>
          <cell r="E18">
            <v>31885</v>
          </cell>
          <cell r="F18">
            <v>97688.912000000011</v>
          </cell>
          <cell r="G18">
            <v>9242</v>
          </cell>
          <cell r="H18">
            <v>27759.387999999995</v>
          </cell>
          <cell r="I18">
            <v>4217</v>
          </cell>
          <cell r="J18">
            <v>15910.450999999999</v>
          </cell>
          <cell r="K18">
            <v>0</v>
          </cell>
          <cell r="L18">
            <v>0</v>
          </cell>
          <cell r="M18">
            <v>9823</v>
          </cell>
          <cell r="N18">
            <v>29612.721999999998</v>
          </cell>
          <cell r="O18">
            <v>8724</v>
          </cell>
          <cell r="P18">
            <v>35090.417999999998</v>
          </cell>
          <cell r="Q18">
            <v>0</v>
          </cell>
          <cell r="R18">
            <v>0</v>
          </cell>
          <cell r="S18">
            <v>6737</v>
          </cell>
          <cell r="T18">
            <v>25861.044000000002</v>
          </cell>
          <cell r="U18">
            <v>1692</v>
          </cell>
          <cell r="V18">
            <v>5947.9890000000005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 t="e">
            <v>#REF!</v>
          </cell>
        </row>
        <row r="19">
          <cell r="A19" t="str">
            <v>27957245</v>
          </cell>
          <cell r="B19" t="str">
            <v>(주)신일도장공사</v>
          </cell>
          <cell r="C19">
            <v>4376</v>
          </cell>
          <cell r="D19">
            <v>8123.42</v>
          </cell>
          <cell r="E19">
            <v>2</v>
          </cell>
          <cell r="F19">
            <v>10.532</v>
          </cell>
          <cell r="G19">
            <v>2</v>
          </cell>
          <cell r="H19">
            <v>12.194000000000001</v>
          </cell>
          <cell r="I19">
            <v>3</v>
          </cell>
          <cell r="J19">
            <v>15.227</v>
          </cell>
          <cell r="K19">
            <v>819</v>
          </cell>
          <cell r="L19">
            <v>1787.9340000000002</v>
          </cell>
          <cell r="M19">
            <v>2318</v>
          </cell>
          <cell r="N19">
            <v>3680.1260000000002</v>
          </cell>
          <cell r="O19">
            <v>1219</v>
          </cell>
          <cell r="P19">
            <v>2530.433</v>
          </cell>
          <cell r="Q19">
            <v>2</v>
          </cell>
          <cell r="R19">
            <v>13.739000000000001</v>
          </cell>
          <cell r="S19">
            <v>2</v>
          </cell>
          <cell r="T19">
            <v>14.451000000000001</v>
          </cell>
          <cell r="U19">
            <v>2</v>
          </cell>
          <cell r="V19">
            <v>14.616</v>
          </cell>
          <cell r="W19">
            <v>3</v>
          </cell>
          <cell r="X19">
            <v>15.569000000000001</v>
          </cell>
          <cell r="Y19">
            <v>3</v>
          </cell>
          <cell r="Z19">
            <v>16.928000000000001</v>
          </cell>
          <cell r="AA19">
            <v>2</v>
          </cell>
          <cell r="AB19">
            <v>11.670999999999999</v>
          </cell>
          <cell r="AC19" t="e">
            <v>#REF!</v>
          </cell>
        </row>
        <row r="20">
          <cell r="A20" t="str">
            <v>48372445</v>
          </cell>
          <cell r="B20" t="str">
            <v>(주)씨케이건설</v>
          </cell>
          <cell r="C20">
            <v>8457</v>
          </cell>
          <cell r="D20">
            <v>19237.786999999997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7233</v>
          </cell>
          <cell r="J20">
            <v>16617.675999999999</v>
          </cell>
          <cell r="K20">
            <v>156</v>
          </cell>
          <cell r="L20">
            <v>394.42899999999997</v>
          </cell>
          <cell r="M20">
            <v>53</v>
          </cell>
          <cell r="N20">
            <v>179.98400000000001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1014</v>
          </cell>
          <cell r="T20">
            <v>2045.6980000000001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 t="e">
            <v>#REF!</v>
          </cell>
        </row>
        <row r="21">
          <cell r="A21" t="str">
            <v>39849554</v>
          </cell>
          <cell r="B21" t="str">
            <v>(주)애림산업</v>
          </cell>
          <cell r="C21">
            <v>3598</v>
          </cell>
          <cell r="D21">
            <v>10354.406000000001</v>
          </cell>
          <cell r="E21">
            <v>184</v>
          </cell>
          <cell r="F21">
            <v>488.61799999999999</v>
          </cell>
          <cell r="G21">
            <v>0</v>
          </cell>
          <cell r="H21">
            <v>0</v>
          </cell>
          <cell r="I21">
            <v>89</v>
          </cell>
          <cell r="J21">
            <v>259.49799999999999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225</v>
          </cell>
          <cell r="P21">
            <v>628.40099999999995</v>
          </cell>
          <cell r="Q21">
            <v>120</v>
          </cell>
          <cell r="R21">
            <v>350.27699999999999</v>
          </cell>
          <cell r="S21">
            <v>0</v>
          </cell>
          <cell r="T21">
            <v>0</v>
          </cell>
          <cell r="U21">
            <v>1848</v>
          </cell>
          <cell r="V21">
            <v>5441.4750000000004</v>
          </cell>
          <cell r="W21">
            <v>0</v>
          </cell>
          <cell r="X21">
            <v>0</v>
          </cell>
          <cell r="Y21">
            <v>1133</v>
          </cell>
          <cell r="Z21">
            <v>3186.1370000000002</v>
          </cell>
          <cell r="AA21">
            <v>0</v>
          </cell>
          <cell r="AB21">
            <v>0</v>
          </cell>
          <cell r="AC21" t="e">
            <v>#REF!</v>
          </cell>
        </row>
        <row r="22">
          <cell r="A22" t="str">
            <v>45516754</v>
          </cell>
          <cell r="B22" t="str">
            <v>(주)에스틸</v>
          </cell>
          <cell r="C22">
            <v>259</v>
          </cell>
          <cell r="D22">
            <v>1133.615</v>
          </cell>
          <cell r="E22">
            <v>8</v>
          </cell>
          <cell r="F22">
            <v>52.655999999999999</v>
          </cell>
          <cell r="G22">
            <v>10</v>
          </cell>
          <cell r="H22">
            <v>60.966999999999999</v>
          </cell>
          <cell r="I22">
            <v>30</v>
          </cell>
          <cell r="J22">
            <v>210.30099999999999</v>
          </cell>
          <cell r="K22">
            <v>12</v>
          </cell>
          <cell r="L22">
            <v>71.614000000000004</v>
          </cell>
          <cell r="M22">
            <v>11</v>
          </cell>
          <cell r="N22">
            <v>70.584999999999994</v>
          </cell>
          <cell r="O22">
            <v>13</v>
          </cell>
          <cell r="P22">
            <v>77.426000000000002</v>
          </cell>
          <cell r="Q22">
            <v>115</v>
          </cell>
          <cell r="R22">
            <v>223.893</v>
          </cell>
          <cell r="S22">
            <v>11</v>
          </cell>
          <cell r="T22">
            <v>72.251000000000005</v>
          </cell>
          <cell r="U22">
            <v>12</v>
          </cell>
          <cell r="V22">
            <v>73.081000000000003</v>
          </cell>
          <cell r="W22">
            <v>13</v>
          </cell>
          <cell r="X22">
            <v>77.844999999999999</v>
          </cell>
          <cell r="Y22">
            <v>15</v>
          </cell>
          <cell r="Z22">
            <v>84.64</v>
          </cell>
          <cell r="AA22">
            <v>10</v>
          </cell>
          <cell r="AB22">
            <v>58.356000000000002</v>
          </cell>
          <cell r="AC22" t="e">
            <v>#REF!</v>
          </cell>
        </row>
        <row r="23">
          <cell r="A23" t="str">
            <v>37744345</v>
          </cell>
          <cell r="B23" t="str">
            <v>(주)우영단열</v>
          </cell>
          <cell r="C23">
            <v>3134</v>
          </cell>
          <cell r="D23">
            <v>7946.3829999999998</v>
          </cell>
          <cell r="E23">
            <v>0</v>
          </cell>
          <cell r="F23">
            <v>0</v>
          </cell>
          <cell r="G23">
            <v>2453</v>
          </cell>
          <cell r="H23">
            <v>5694.2250000000004</v>
          </cell>
          <cell r="I23">
            <v>0</v>
          </cell>
          <cell r="J23">
            <v>0</v>
          </cell>
          <cell r="K23">
            <v>355</v>
          </cell>
          <cell r="L23">
            <v>1326.191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326</v>
          </cell>
          <cell r="T23">
            <v>925.96699999999998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 t="e">
            <v>#REF!</v>
          </cell>
        </row>
        <row r="24">
          <cell r="A24" t="str">
            <v>01140473</v>
          </cell>
          <cell r="B24" t="str">
            <v>(주)우진시스템</v>
          </cell>
          <cell r="C24">
            <v>139</v>
          </cell>
          <cell r="D24">
            <v>846.30700000000002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40</v>
          </cell>
          <cell r="R24">
            <v>247.90100000000001</v>
          </cell>
          <cell r="S24">
            <v>0</v>
          </cell>
          <cell r="T24">
            <v>0</v>
          </cell>
          <cell r="U24">
            <v>99</v>
          </cell>
          <cell r="V24">
            <v>598.40599999999995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 t="e">
            <v>#REF!</v>
          </cell>
        </row>
        <row r="25">
          <cell r="A25" t="str">
            <v>22821148</v>
          </cell>
          <cell r="B25" t="str">
            <v>(주)일광</v>
          </cell>
          <cell r="C25">
            <v>105469</v>
          </cell>
          <cell r="D25">
            <v>710669.92799999984</v>
          </cell>
          <cell r="E25">
            <v>5587</v>
          </cell>
          <cell r="F25">
            <v>41885.229000000007</v>
          </cell>
          <cell r="G25">
            <v>8539</v>
          </cell>
          <cell r="H25">
            <v>54726.600999999995</v>
          </cell>
          <cell r="I25">
            <v>9070</v>
          </cell>
          <cell r="J25">
            <v>63018.7</v>
          </cell>
          <cell r="K25">
            <v>8468</v>
          </cell>
          <cell r="L25">
            <v>57933.451000000001</v>
          </cell>
          <cell r="M25">
            <v>8114</v>
          </cell>
          <cell r="N25">
            <v>57386.273999999998</v>
          </cell>
          <cell r="O25">
            <v>11693</v>
          </cell>
          <cell r="P25">
            <v>70512.760999999984</v>
          </cell>
          <cell r="Q25">
            <v>9569</v>
          </cell>
          <cell r="R25">
            <v>62642.791999999994</v>
          </cell>
          <cell r="S25">
            <v>8922</v>
          </cell>
          <cell r="T25">
            <v>61424.588999999993</v>
          </cell>
          <cell r="U25">
            <v>10085</v>
          </cell>
          <cell r="V25">
            <v>64533.07</v>
          </cell>
          <cell r="W25">
            <v>8355</v>
          </cell>
          <cell r="X25">
            <v>61278.725999999981</v>
          </cell>
          <cell r="Y25">
            <v>10534</v>
          </cell>
          <cell r="Z25">
            <v>69466.251000000004</v>
          </cell>
          <cell r="AA25">
            <v>6537</v>
          </cell>
          <cell r="AB25">
            <v>45861.483999999989</v>
          </cell>
          <cell r="AC25" t="e">
            <v>#REF!</v>
          </cell>
        </row>
        <row r="26">
          <cell r="A26" t="str">
            <v>48455445</v>
          </cell>
          <cell r="B26" t="str">
            <v>(주)제일방수페인트공사</v>
          </cell>
          <cell r="C26">
            <v>72717</v>
          </cell>
          <cell r="D26">
            <v>172343.23400000005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2046</v>
          </cell>
          <cell r="J26">
            <v>6092.5320000000002</v>
          </cell>
          <cell r="K26">
            <v>21126</v>
          </cell>
          <cell r="L26">
            <v>51184.344000000005</v>
          </cell>
          <cell r="M26">
            <v>2281</v>
          </cell>
          <cell r="N26">
            <v>6205.7939999999999</v>
          </cell>
          <cell r="O26">
            <v>7848</v>
          </cell>
          <cell r="P26">
            <v>17680.905999999999</v>
          </cell>
          <cell r="Q26">
            <v>8090</v>
          </cell>
          <cell r="R26">
            <v>20459.348000000002</v>
          </cell>
          <cell r="S26">
            <v>2933</v>
          </cell>
          <cell r="T26">
            <v>6722.0379999999996</v>
          </cell>
          <cell r="U26">
            <v>15501</v>
          </cell>
          <cell r="V26">
            <v>35149.798000000003</v>
          </cell>
          <cell r="W26">
            <v>7071</v>
          </cell>
          <cell r="X26">
            <v>15139.904000000002</v>
          </cell>
          <cell r="Y26">
            <v>5823</v>
          </cell>
          <cell r="Z26">
            <v>13708.57</v>
          </cell>
          <cell r="AA26">
            <v>0</v>
          </cell>
          <cell r="AB26">
            <v>0</v>
          </cell>
          <cell r="AC26" t="e">
            <v>#REF!</v>
          </cell>
        </row>
        <row r="27">
          <cell r="A27" t="str">
            <v>14604648</v>
          </cell>
          <cell r="B27" t="str">
            <v>(주)중부</v>
          </cell>
          <cell r="C27">
            <v>162629</v>
          </cell>
          <cell r="D27">
            <v>879915.9360000001</v>
          </cell>
          <cell r="E27">
            <v>8267</v>
          </cell>
          <cell r="F27">
            <v>51566.632000000005</v>
          </cell>
          <cell r="G27">
            <v>9787</v>
          </cell>
          <cell r="H27">
            <v>59381.455999999998</v>
          </cell>
          <cell r="I27">
            <v>15043</v>
          </cell>
          <cell r="J27">
            <v>80396.419000000009</v>
          </cell>
          <cell r="K27">
            <v>12931</v>
          </cell>
          <cell r="L27">
            <v>71927.227000000028</v>
          </cell>
          <cell r="M27">
            <v>12188</v>
          </cell>
          <cell r="N27">
            <v>71607.133999999991</v>
          </cell>
          <cell r="O27">
            <v>14422</v>
          </cell>
          <cell r="P27">
            <v>80426.547000000006</v>
          </cell>
          <cell r="Q27">
            <v>11884</v>
          </cell>
          <cell r="R27">
            <v>67964.353000000003</v>
          </cell>
          <cell r="S27">
            <v>13700</v>
          </cell>
          <cell r="T27">
            <v>76939.822</v>
          </cell>
          <cell r="U27">
            <v>19895</v>
          </cell>
          <cell r="V27">
            <v>86283.716</v>
          </cell>
          <cell r="W27">
            <v>14465</v>
          </cell>
          <cell r="X27">
            <v>81204.747999999992</v>
          </cell>
          <cell r="Y27">
            <v>17839</v>
          </cell>
          <cell r="Z27">
            <v>92061.729000000007</v>
          </cell>
          <cell r="AA27">
            <v>12213</v>
          </cell>
          <cell r="AB27">
            <v>60156.15300000002</v>
          </cell>
          <cell r="AC27" t="e">
            <v>#REF!</v>
          </cell>
        </row>
        <row r="28">
          <cell r="A28" t="str">
            <v>02789945</v>
          </cell>
          <cell r="B28" t="str">
            <v>(주)진한양행</v>
          </cell>
          <cell r="C28">
            <v>124145</v>
          </cell>
          <cell r="D28">
            <v>212751.23</v>
          </cell>
          <cell r="E28">
            <v>5016</v>
          </cell>
          <cell r="F28">
            <v>8583.4130000000005</v>
          </cell>
          <cell r="G28">
            <v>5448</v>
          </cell>
          <cell r="H28">
            <v>8838.8490000000002</v>
          </cell>
          <cell r="I28">
            <v>47932</v>
          </cell>
          <cell r="J28">
            <v>80368.584999999992</v>
          </cell>
          <cell r="K28">
            <v>13181</v>
          </cell>
          <cell r="L28">
            <v>25999.552</v>
          </cell>
          <cell r="M28">
            <v>11356</v>
          </cell>
          <cell r="N28">
            <v>22680.605</v>
          </cell>
          <cell r="O28">
            <v>12538</v>
          </cell>
          <cell r="P28">
            <v>21100.238000000001</v>
          </cell>
          <cell r="Q28">
            <v>6772</v>
          </cell>
          <cell r="R28">
            <v>9561.7340000000004</v>
          </cell>
          <cell r="S28">
            <v>3942</v>
          </cell>
          <cell r="T28">
            <v>5939.2020000000002</v>
          </cell>
          <cell r="U28">
            <v>683</v>
          </cell>
          <cell r="V28">
            <v>507.31600000000003</v>
          </cell>
          <cell r="W28">
            <v>4596</v>
          </cell>
          <cell r="X28">
            <v>6673.835</v>
          </cell>
          <cell r="Y28">
            <v>9859</v>
          </cell>
          <cell r="Z28">
            <v>15611.206</v>
          </cell>
          <cell r="AA28">
            <v>2819</v>
          </cell>
          <cell r="AB28">
            <v>6886.6950000000006</v>
          </cell>
          <cell r="AC28" t="e">
            <v>#REF!</v>
          </cell>
        </row>
        <row r="29">
          <cell r="A29" t="str">
            <v>32823212</v>
          </cell>
          <cell r="B29" t="str">
            <v>(주)케이엔씨개발</v>
          </cell>
          <cell r="C29">
            <v>12414</v>
          </cell>
          <cell r="D29">
            <v>56711.678999999996</v>
          </cell>
          <cell r="E29">
            <v>716</v>
          </cell>
          <cell r="F29">
            <v>3081.9749999999999</v>
          </cell>
          <cell r="G29">
            <v>983</v>
          </cell>
          <cell r="H29">
            <v>4685.4190000000008</v>
          </cell>
          <cell r="I29">
            <v>2308</v>
          </cell>
          <cell r="J29">
            <v>9454.5489999999991</v>
          </cell>
          <cell r="K29">
            <v>578</v>
          </cell>
          <cell r="L29">
            <v>3337.2020000000002</v>
          </cell>
          <cell r="M29">
            <v>270</v>
          </cell>
          <cell r="N29">
            <v>1453.1489999999999</v>
          </cell>
          <cell r="O29">
            <v>3446</v>
          </cell>
          <cell r="P29">
            <v>15881.045</v>
          </cell>
          <cell r="Q29">
            <v>930</v>
          </cell>
          <cell r="R29">
            <v>3941.1010000000001</v>
          </cell>
          <cell r="S29">
            <v>2473</v>
          </cell>
          <cell r="T29">
            <v>11007.733</v>
          </cell>
          <cell r="U29">
            <v>0</v>
          </cell>
          <cell r="V29">
            <v>0</v>
          </cell>
          <cell r="W29">
            <v>713</v>
          </cell>
          <cell r="X29">
            <v>3869.5060000000003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 t="e">
            <v>#REF!</v>
          </cell>
        </row>
        <row r="30">
          <cell r="A30" t="str">
            <v>00514445</v>
          </cell>
          <cell r="B30" t="str">
            <v>(주)해우산업개발</v>
          </cell>
          <cell r="C30">
            <v>37710</v>
          </cell>
          <cell r="D30">
            <v>85369.304999999993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10155</v>
          </cell>
          <cell r="J30">
            <v>22712.65</v>
          </cell>
          <cell r="K30">
            <v>6415</v>
          </cell>
          <cell r="L30">
            <v>9161.362000000001</v>
          </cell>
          <cell r="M30">
            <v>19560</v>
          </cell>
          <cell r="N30">
            <v>50150.681000000004</v>
          </cell>
          <cell r="O30">
            <v>1265</v>
          </cell>
          <cell r="P30">
            <v>1935.7059999999999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313</v>
          </cell>
          <cell r="AB30">
            <v>1408.9059999999999</v>
          </cell>
          <cell r="AC30" t="e">
            <v>#REF!</v>
          </cell>
        </row>
        <row r="31">
          <cell r="A31" t="str">
            <v>44201154</v>
          </cell>
          <cell r="B31" t="str">
            <v>(주)향한</v>
          </cell>
          <cell r="C31">
            <v>12877</v>
          </cell>
          <cell r="D31">
            <v>36881.932000000001</v>
          </cell>
          <cell r="E31">
            <v>1467</v>
          </cell>
          <cell r="F31">
            <v>3908.9409999999998</v>
          </cell>
          <cell r="G31">
            <v>755</v>
          </cell>
          <cell r="H31">
            <v>2246.4920000000002</v>
          </cell>
          <cell r="I31">
            <v>715</v>
          </cell>
          <cell r="J31">
            <v>2075.982</v>
          </cell>
          <cell r="K31">
            <v>1319</v>
          </cell>
          <cell r="L31">
            <v>3611.7089999999998</v>
          </cell>
          <cell r="M31">
            <v>1371</v>
          </cell>
          <cell r="N31">
            <v>3881.8290000000002</v>
          </cell>
          <cell r="O31">
            <v>0</v>
          </cell>
          <cell r="P31">
            <v>0</v>
          </cell>
          <cell r="Q31">
            <v>1314</v>
          </cell>
          <cell r="R31">
            <v>3853.0439999999999</v>
          </cell>
          <cell r="S31">
            <v>351</v>
          </cell>
          <cell r="T31">
            <v>991.06299999999999</v>
          </cell>
          <cell r="U31">
            <v>2033</v>
          </cell>
          <cell r="V31">
            <v>5985.6229999999996</v>
          </cell>
          <cell r="W31">
            <v>914</v>
          </cell>
          <cell r="X31">
            <v>2842.4749999999999</v>
          </cell>
          <cell r="Y31">
            <v>1586</v>
          </cell>
          <cell r="Z31">
            <v>4460.5919999999996</v>
          </cell>
          <cell r="AA31">
            <v>1052</v>
          </cell>
          <cell r="AB31">
            <v>3024.1819999999998</v>
          </cell>
          <cell r="AC31" t="e">
            <v>#REF!</v>
          </cell>
        </row>
        <row r="32">
          <cell r="A32" t="str">
            <v>37747973</v>
          </cell>
          <cell r="B32" t="str">
            <v>(주)현승산업</v>
          </cell>
          <cell r="C32">
            <v>4757</v>
          </cell>
          <cell r="D32">
            <v>22358.125</v>
          </cell>
          <cell r="E32">
            <v>506</v>
          </cell>
          <cell r="F32">
            <v>2818.444</v>
          </cell>
          <cell r="G32">
            <v>351</v>
          </cell>
          <cell r="H32">
            <v>1516.0409999999999</v>
          </cell>
          <cell r="I32">
            <v>207</v>
          </cell>
          <cell r="J32">
            <v>875.27700000000004</v>
          </cell>
          <cell r="K32">
            <v>484</v>
          </cell>
          <cell r="L32">
            <v>2176.6970000000001</v>
          </cell>
          <cell r="M32">
            <v>173</v>
          </cell>
          <cell r="N32">
            <v>876.09799999999996</v>
          </cell>
          <cell r="O32">
            <v>1092</v>
          </cell>
          <cell r="P32">
            <v>4751.232</v>
          </cell>
          <cell r="Q32">
            <v>979</v>
          </cell>
          <cell r="R32">
            <v>4655.5389999999998</v>
          </cell>
          <cell r="S32">
            <v>212</v>
          </cell>
          <cell r="T32">
            <v>1082.68</v>
          </cell>
          <cell r="U32">
            <v>219</v>
          </cell>
          <cell r="V32">
            <v>953.25</v>
          </cell>
          <cell r="W32">
            <v>535</v>
          </cell>
          <cell r="X32">
            <v>2652.8670000000002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 t="e">
            <v>#REF!</v>
          </cell>
        </row>
        <row r="33">
          <cell r="A33" t="str">
            <v>29589947</v>
          </cell>
          <cell r="B33" t="str">
            <v>(주)현재상사</v>
          </cell>
          <cell r="C33">
            <v>27</v>
          </cell>
          <cell r="D33">
            <v>160.22399999999999</v>
          </cell>
          <cell r="E33">
            <v>1</v>
          </cell>
          <cell r="F33">
            <v>9.2149999999999999</v>
          </cell>
          <cell r="G33">
            <v>2</v>
          </cell>
          <cell r="H33">
            <v>10.669</v>
          </cell>
          <cell r="I33">
            <v>2</v>
          </cell>
          <cell r="J33">
            <v>13.324</v>
          </cell>
          <cell r="K33">
            <v>2</v>
          </cell>
          <cell r="L33">
            <v>12.532</v>
          </cell>
          <cell r="M33">
            <v>6</v>
          </cell>
          <cell r="N33">
            <v>24.832999999999998</v>
          </cell>
          <cell r="O33">
            <v>2</v>
          </cell>
          <cell r="P33">
            <v>13.548999999999999</v>
          </cell>
          <cell r="Q33">
            <v>2</v>
          </cell>
          <cell r="R33">
            <v>12.022</v>
          </cell>
          <cell r="S33">
            <v>2</v>
          </cell>
          <cell r="T33">
            <v>12.644</v>
          </cell>
          <cell r="U33">
            <v>2</v>
          </cell>
          <cell r="V33">
            <v>12.789</v>
          </cell>
          <cell r="W33">
            <v>2</v>
          </cell>
          <cell r="X33">
            <v>13.622999999999999</v>
          </cell>
          <cell r="Y33">
            <v>3</v>
          </cell>
          <cell r="Z33">
            <v>14.811999999999999</v>
          </cell>
          <cell r="AA33">
            <v>2</v>
          </cell>
          <cell r="AB33">
            <v>10.212</v>
          </cell>
          <cell r="AC33" t="e">
            <v>#REF!</v>
          </cell>
        </row>
        <row r="34">
          <cell r="A34" t="str">
            <v>29589978</v>
          </cell>
          <cell r="B34" t="str">
            <v>(주)현재상사</v>
          </cell>
          <cell r="C34">
            <v>30208</v>
          </cell>
          <cell r="D34">
            <v>153754.80800000002</v>
          </cell>
          <cell r="E34">
            <v>2382</v>
          </cell>
          <cell r="F34">
            <v>12321.148999999998</v>
          </cell>
          <cell r="G34">
            <v>2366</v>
          </cell>
          <cell r="H34">
            <v>12410.043000000001</v>
          </cell>
          <cell r="I34">
            <v>2688</v>
          </cell>
          <cell r="J34">
            <v>13309.594000000001</v>
          </cell>
          <cell r="K34">
            <v>1628</v>
          </cell>
          <cell r="L34">
            <v>8497.0689999999995</v>
          </cell>
          <cell r="M34">
            <v>3343</v>
          </cell>
          <cell r="N34">
            <v>17403.942000000003</v>
          </cell>
          <cell r="O34">
            <v>2673</v>
          </cell>
          <cell r="P34">
            <v>13152.78</v>
          </cell>
          <cell r="Q34">
            <v>2328</v>
          </cell>
          <cell r="R34">
            <v>12658.59</v>
          </cell>
          <cell r="S34">
            <v>2180</v>
          </cell>
          <cell r="T34">
            <v>11047.487000000001</v>
          </cell>
          <cell r="U34">
            <v>1983</v>
          </cell>
          <cell r="V34">
            <v>10094.117</v>
          </cell>
          <cell r="W34">
            <v>3143</v>
          </cell>
          <cell r="X34">
            <v>15522.854000000001</v>
          </cell>
          <cell r="Y34">
            <v>3607</v>
          </cell>
          <cell r="Z34">
            <v>17742.307999999997</v>
          </cell>
          <cell r="AA34">
            <v>1884</v>
          </cell>
          <cell r="AB34">
            <v>9594.8750000000018</v>
          </cell>
          <cell r="AC34" t="e">
            <v>#REF!</v>
          </cell>
        </row>
        <row r="35">
          <cell r="A35" t="str">
            <v>46929247</v>
          </cell>
          <cell r="B35" t="str">
            <v>(주)화진실업</v>
          </cell>
          <cell r="C35">
            <v>34970</v>
          </cell>
          <cell r="D35">
            <v>79194.625000000015</v>
          </cell>
          <cell r="E35">
            <v>4</v>
          </cell>
          <cell r="F35">
            <v>19.59</v>
          </cell>
          <cell r="G35">
            <v>74</v>
          </cell>
          <cell r="H35">
            <v>837.48900000000003</v>
          </cell>
          <cell r="I35">
            <v>3858</v>
          </cell>
          <cell r="J35">
            <v>6534.1229999999996</v>
          </cell>
          <cell r="K35">
            <v>6378</v>
          </cell>
          <cell r="L35">
            <v>11029.584999999999</v>
          </cell>
          <cell r="M35">
            <v>7120</v>
          </cell>
          <cell r="N35">
            <v>17192.793000000001</v>
          </cell>
          <cell r="O35">
            <v>6330</v>
          </cell>
          <cell r="P35">
            <v>13148.074999999999</v>
          </cell>
          <cell r="Q35">
            <v>6126</v>
          </cell>
          <cell r="R35">
            <v>13686.710999999999</v>
          </cell>
          <cell r="S35">
            <v>904</v>
          </cell>
          <cell r="T35">
            <v>2754.9</v>
          </cell>
          <cell r="U35">
            <v>2492</v>
          </cell>
          <cell r="V35">
            <v>7736.0479999999989</v>
          </cell>
          <cell r="W35">
            <v>762</v>
          </cell>
          <cell r="X35">
            <v>2874.2139999999999</v>
          </cell>
          <cell r="Y35">
            <v>567</v>
          </cell>
          <cell r="Z35">
            <v>2169.1610000000001</v>
          </cell>
          <cell r="AA35">
            <v>356</v>
          </cell>
          <cell r="AB35">
            <v>1211.9359999999999</v>
          </cell>
          <cell r="AC35" t="e">
            <v>#REF!</v>
          </cell>
        </row>
        <row r="36">
          <cell r="A36" t="str">
            <v>47665847</v>
          </cell>
          <cell r="B36" t="str">
            <v>가영건설(주)</v>
          </cell>
          <cell r="C36">
            <v>61356</v>
          </cell>
          <cell r="D36">
            <v>133101.84799999997</v>
          </cell>
          <cell r="E36">
            <v>1105</v>
          </cell>
          <cell r="F36">
            <v>1736.94</v>
          </cell>
          <cell r="G36">
            <v>1045</v>
          </cell>
          <cell r="H36">
            <v>2201.277</v>
          </cell>
          <cell r="I36">
            <v>9000</v>
          </cell>
          <cell r="J36">
            <v>12189.18</v>
          </cell>
          <cell r="K36">
            <v>12532</v>
          </cell>
          <cell r="L36">
            <v>18086.02</v>
          </cell>
          <cell r="M36">
            <v>4823</v>
          </cell>
          <cell r="N36">
            <v>10839.087</v>
          </cell>
          <cell r="O36">
            <v>2190</v>
          </cell>
          <cell r="P36">
            <v>4176.6899999999996</v>
          </cell>
          <cell r="Q36">
            <v>2489</v>
          </cell>
          <cell r="R36">
            <v>4014.9430000000002</v>
          </cell>
          <cell r="S36">
            <v>1303</v>
          </cell>
          <cell r="T36">
            <v>4846.2340000000004</v>
          </cell>
          <cell r="U36">
            <v>11317</v>
          </cell>
          <cell r="V36">
            <v>33814.262999999999</v>
          </cell>
          <cell r="W36">
            <v>2154</v>
          </cell>
          <cell r="X36">
            <v>7375.1139999999996</v>
          </cell>
          <cell r="Y36">
            <v>4896</v>
          </cell>
          <cell r="Z36">
            <v>15808.463999999998</v>
          </cell>
          <cell r="AA36">
            <v>8507</v>
          </cell>
          <cell r="AB36">
            <v>18013.635999999999</v>
          </cell>
          <cell r="AC36" t="e">
            <v>#REF!</v>
          </cell>
        </row>
        <row r="37">
          <cell r="A37" t="str">
            <v>38987645</v>
          </cell>
          <cell r="B37" t="str">
            <v>강우기업(주)</v>
          </cell>
          <cell r="C37">
            <v>8788</v>
          </cell>
          <cell r="D37">
            <v>44177.728999999999</v>
          </cell>
          <cell r="E37">
            <v>277</v>
          </cell>
          <cell r="F37">
            <v>639.45300000000009</v>
          </cell>
          <cell r="G37">
            <v>0</v>
          </cell>
          <cell r="H37">
            <v>0</v>
          </cell>
          <cell r="I37">
            <v>243</v>
          </cell>
          <cell r="J37">
            <v>385.28899999999999</v>
          </cell>
          <cell r="K37">
            <v>3580</v>
          </cell>
          <cell r="L37">
            <v>20493.057000000001</v>
          </cell>
          <cell r="M37">
            <v>1821</v>
          </cell>
          <cell r="N37">
            <v>9887.4060000000009</v>
          </cell>
          <cell r="O37">
            <v>287</v>
          </cell>
          <cell r="P37">
            <v>731.10500000000002</v>
          </cell>
          <cell r="Q37">
            <v>0</v>
          </cell>
          <cell r="R37">
            <v>0</v>
          </cell>
          <cell r="S37">
            <v>292</v>
          </cell>
          <cell r="T37">
            <v>683.73699999999997</v>
          </cell>
          <cell r="U37">
            <v>0</v>
          </cell>
          <cell r="V37">
            <v>0</v>
          </cell>
          <cell r="W37">
            <v>1555</v>
          </cell>
          <cell r="X37">
            <v>9390.2430000000004</v>
          </cell>
          <cell r="Y37">
            <v>435</v>
          </cell>
          <cell r="Z37">
            <v>1525.22</v>
          </cell>
          <cell r="AA37">
            <v>297</v>
          </cell>
          <cell r="AB37">
            <v>442.21899999999999</v>
          </cell>
          <cell r="AC37" t="e">
            <v>#REF!</v>
          </cell>
        </row>
        <row r="38">
          <cell r="A38" t="str">
            <v>00607847</v>
          </cell>
          <cell r="B38" t="str">
            <v>건전</v>
          </cell>
          <cell r="C38">
            <v>23255</v>
          </cell>
          <cell r="D38">
            <v>69389.22600000001</v>
          </cell>
          <cell r="E38">
            <v>631</v>
          </cell>
          <cell r="F38">
            <v>1534.8820000000001</v>
          </cell>
          <cell r="G38">
            <v>391</v>
          </cell>
          <cell r="H38">
            <v>649.56700000000001</v>
          </cell>
          <cell r="I38">
            <v>2110</v>
          </cell>
          <cell r="J38">
            <v>6818.7290000000003</v>
          </cell>
          <cell r="K38">
            <v>2464</v>
          </cell>
          <cell r="L38">
            <v>8230.5470000000005</v>
          </cell>
          <cell r="M38">
            <v>3019</v>
          </cell>
          <cell r="N38">
            <v>7500.5540000000001</v>
          </cell>
          <cell r="O38">
            <v>1377</v>
          </cell>
          <cell r="P38">
            <v>4784.6820000000007</v>
          </cell>
          <cell r="Q38">
            <v>2416</v>
          </cell>
          <cell r="R38">
            <v>6307.1379999999999</v>
          </cell>
          <cell r="S38">
            <v>3641</v>
          </cell>
          <cell r="T38">
            <v>12604.244999999999</v>
          </cell>
          <cell r="U38">
            <v>2963</v>
          </cell>
          <cell r="V38">
            <v>8467.6540000000005</v>
          </cell>
          <cell r="W38">
            <v>3396</v>
          </cell>
          <cell r="X38">
            <v>9108.4709999999995</v>
          </cell>
          <cell r="Y38">
            <v>449</v>
          </cell>
          <cell r="Z38">
            <v>1620.5230000000001</v>
          </cell>
          <cell r="AA38">
            <v>402</v>
          </cell>
          <cell r="AB38">
            <v>1762.2340000000002</v>
          </cell>
          <cell r="AC38" t="e">
            <v>#REF!</v>
          </cell>
        </row>
        <row r="39">
          <cell r="A39" t="str">
            <v>00610747</v>
          </cell>
          <cell r="B39" t="str">
            <v>경기도료</v>
          </cell>
          <cell r="C39">
            <v>90831</v>
          </cell>
          <cell r="D39">
            <v>237738.49</v>
          </cell>
          <cell r="E39">
            <v>1774</v>
          </cell>
          <cell r="F39">
            <v>6429.6159999999991</v>
          </cell>
          <cell r="G39">
            <v>4554</v>
          </cell>
          <cell r="H39">
            <v>12464.245999999996</v>
          </cell>
          <cell r="I39">
            <v>6944</v>
          </cell>
          <cell r="J39">
            <v>22517.56</v>
          </cell>
          <cell r="K39">
            <v>8219</v>
          </cell>
          <cell r="L39">
            <v>22253.167999999998</v>
          </cell>
          <cell r="M39">
            <v>7495</v>
          </cell>
          <cell r="N39">
            <v>16720.627</v>
          </cell>
          <cell r="O39">
            <v>4794</v>
          </cell>
          <cell r="P39">
            <v>12806.904999999999</v>
          </cell>
          <cell r="Q39">
            <v>8590</v>
          </cell>
          <cell r="R39">
            <v>18953.367999999999</v>
          </cell>
          <cell r="S39">
            <v>7902</v>
          </cell>
          <cell r="T39">
            <v>15959.127000000002</v>
          </cell>
          <cell r="U39">
            <v>16037</v>
          </cell>
          <cell r="V39">
            <v>43101.797999999988</v>
          </cell>
          <cell r="W39">
            <v>14491</v>
          </cell>
          <cell r="X39">
            <v>34960.824000000001</v>
          </cell>
          <cell r="Y39">
            <v>5332</v>
          </cell>
          <cell r="Z39">
            <v>21009.836999999996</v>
          </cell>
          <cell r="AA39">
            <v>4693</v>
          </cell>
          <cell r="AB39">
            <v>10561.414000000001</v>
          </cell>
          <cell r="AC39" t="e">
            <v>#REF!</v>
          </cell>
        </row>
        <row r="40">
          <cell r="A40" t="str">
            <v>00615848</v>
          </cell>
          <cell r="B40" t="str">
            <v>경도상사</v>
          </cell>
          <cell r="C40">
            <v>107504</v>
          </cell>
          <cell r="D40">
            <v>649922.8540000004</v>
          </cell>
          <cell r="E40">
            <v>7200</v>
          </cell>
          <cell r="F40">
            <v>43629.41</v>
          </cell>
          <cell r="G40">
            <v>7845</v>
          </cell>
          <cell r="H40">
            <v>47001.085000000006</v>
          </cell>
          <cell r="I40">
            <v>8088</v>
          </cell>
          <cell r="J40">
            <v>53279.364000000016</v>
          </cell>
          <cell r="K40">
            <v>10169</v>
          </cell>
          <cell r="L40">
            <v>57579.57</v>
          </cell>
          <cell r="M40">
            <v>7239</v>
          </cell>
          <cell r="N40">
            <v>48963.590999999993</v>
          </cell>
          <cell r="O40">
            <v>11057</v>
          </cell>
          <cell r="P40">
            <v>65597.047999999995</v>
          </cell>
          <cell r="Q40">
            <v>7963</v>
          </cell>
          <cell r="R40">
            <v>49751.98599999999</v>
          </cell>
          <cell r="S40">
            <v>11628</v>
          </cell>
          <cell r="T40">
            <v>63970.013999999988</v>
          </cell>
          <cell r="U40">
            <v>9515</v>
          </cell>
          <cell r="V40">
            <v>55336.80599999999</v>
          </cell>
          <cell r="W40">
            <v>9697</v>
          </cell>
          <cell r="X40">
            <v>59984.830999999984</v>
          </cell>
          <cell r="Y40">
            <v>9893</v>
          </cell>
          <cell r="Z40">
            <v>60759.466999999997</v>
          </cell>
          <cell r="AA40">
            <v>7225</v>
          </cell>
          <cell r="AB40">
            <v>44069.681999999993</v>
          </cell>
          <cell r="AC40" t="e">
            <v>#REF!</v>
          </cell>
        </row>
        <row r="41">
          <cell r="A41" t="str">
            <v>35250845</v>
          </cell>
          <cell r="B41" t="str">
            <v>경신플랜트(주)</v>
          </cell>
          <cell r="C41">
            <v>11030</v>
          </cell>
          <cell r="D41">
            <v>36481.947000000007</v>
          </cell>
          <cell r="E41">
            <v>517</v>
          </cell>
          <cell r="F41">
            <v>2340.3989999999999</v>
          </cell>
          <cell r="G41">
            <v>256</v>
          </cell>
          <cell r="H41">
            <v>723.21</v>
          </cell>
          <cell r="I41">
            <v>1973</v>
          </cell>
          <cell r="J41">
            <v>7935.64</v>
          </cell>
          <cell r="K41">
            <v>3108</v>
          </cell>
          <cell r="L41">
            <v>9622.0349999999999</v>
          </cell>
          <cell r="M41">
            <v>695</v>
          </cell>
          <cell r="N41">
            <v>1707.884</v>
          </cell>
          <cell r="O41">
            <v>547</v>
          </cell>
          <cell r="P41">
            <v>1738.7280000000001</v>
          </cell>
          <cell r="Q41">
            <v>53</v>
          </cell>
          <cell r="R41">
            <v>145.351</v>
          </cell>
          <cell r="S41">
            <v>34</v>
          </cell>
          <cell r="T41">
            <v>152.35499999999999</v>
          </cell>
          <cell r="U41">
            <v>1014</v>
          </cell>
          <cell r="V41">
            <v>3759.6390000000001</v>
          </cell>
          <cell r="W41">
            <v>2486</v>
          </cell>
          <cell r="X41">
            <v>7381.5889999999999</v>
          </cell>
          <cell r="Y41">
            <v>0</v>
          </cell>
          <cell r="Z41">
            <v>0</v>
          </cell>
          <cell r="AA41">
            <v>346</v>
          </cell>
          <cell r="AB41">
            <v>975.11699999999996</v>
          </cell>
          <cell r="AC41" t="e">
            <v>#REF!</v>
          </cell>
        </row>
        <row r="42">
          <cell r="A42" t="str">
            <v>00622647</v>
          </cell>
          <cell r="B42" t="str">
            <v>고려기업</v>
          </cell>
          <cell r="C42">
            <v>31821</v>
          </cell>
          <cell r="D42">
            <v>140068.84699999995</v>
          </cell>
          <cell r="E42">
            <v>1264</v>
          </cell>
          <cell r="F42">
            <v>6383.4640000000009</v>
          </cell>
          <cell r="G42">
            <v>2664</v>
          </cell>
          <cell r="H42">
            <v>9953.1839999999993</v>
          </cell>
          <cell r="I42">
            <v>2441</v>
          </cell>
          <cell r="J42">
            <v>12456.345000000001</v>
          </cell>
          <cell r="K42">
            <v>2228</v>
          </cell>
          <cell r="L42">
            <v>11125.651</v>
          </cell>
          <cell r="M42">
            <v>2523</v>
          </cell>
          <cell r="N42">
            <v>10932.402</v>
          </cell>
          <cell r="O42">
            <v>2405</v>
          </cell>
          <cell r="P42">
            <v>11310.68</v>
          </cell>
          <cell r="Q42">
            <v>3426</v>
          </cell>
          <cell r="R42">
            <v>15217.097999999998</v>
          </cell>
          <cell r="S42">
            <v>2313</v>
          </cell>
          <cell r="T42">
            <v>9942.76</v>
          </cell>
          <cell r="U42">
            <v>3090</v>
          </cell>
          <cell r="V42">
            <v>12694.723000000002</v>
          </cell>
          <cell r="W42">
            <v>3856</v>
          </cell>
          <cell r="X42">
            <v>16380.474999999999</v>
          </cell>
          <cell r="Y42">
            <v>4341</v>
          </cell>
          <cell r="Z42">
            <v>19027.962</v>
          </cell>
          <cell r="AA42">
            <v>1282</v>
          </cell>
          <cell r="AB42">
            <v>4644.103000000001</v>
          </cell>
          <cell r="AC42" t="e">
            <v>#REF!</v>
          </cell>
        </row>
        <row r="43">
          <cell r="A43" t="str">
            <v>00627747</v>
          </cell>
          <cell r="B43" t="str">
            <v>고려상사(송림)</v>
          </cell>
          <cell r="C43">
            <v>125325</v>
          </cell>
          <cell r="D43">
            <v>313057.90099999995</v>
          </cell>
          <cell r="E43">
            <v>4243</v>
          </cell>
          <cell r="F43">
            <v>13080.136999999999</v>
          </cell>
          <cell r="G43">
            <v>5359</v>
          </cell>
          <cell r="H43">
            <v>14995.556000000002</v>
          </cell>
          <cell r="I43">
            <v>14197</v>
          </cell>
          <cell r="J43">
            <v>34370.370000000003</v>
          </cell>
          <cell r="K43">
            <v>13231</v>
          </cell>
          <cell r="L43">
            <v>35102.212</v>
          </cell>
          <cell r="M43">
            <v>12751</v>
          </cell>
          <cell r="N43">
            <v>31172.128999999994</v>
          </cell>
          <cell r="O43">
            <v>12232</v>
          </cell>
          <cell r="P43">
            <v>28382.487999999998</v>
          </cell>
          <cell r="Q43">
            <v>9689</v>
          </cell>
          <cell r="R43">
            <v>24132.758000000005</v>
          </cell>
          <cell r="S43">
            <v>16226</v>
          </cell>
          <cell r="T43">
            <v>38267.720999999998</v>
          </cell>
          <cell r="U43">
            <v>16580</v>
          </cell>
          <cell r="V43">
            <v>35576.35</v>
          </cell>
          <cell r="W43">
            <v>10114</v>
          </cell>
          <cell r="X43">
            <v>27484.932999999994</v>
          </cell>
          <cell r="Y43">
            <v>7935</v>
          </cell>
          <cell r="Z43">
            <v>21803.024000000001</v>
          </cell>
          <cell r="AA43">
            <v>2766</v>
          </cell>
          <cell r="AB43">
            <v>8690.223</v>
          </cell>
          <cell r="AC43" t="e">
            <v>#REF!</v>
          </cell>
        </row>
        <row r="44">
          <cell r="A44" t="str">
            <v>00630647</v>
          </cell>
          <cell r="B44" t="str">
            <v>고려상사(화수동)</v>
          </cell>
          <cell r="C44">
            <v>50656</v>
          </cell>
          <cell r="D44">
            <v>114505.73</v>
          </cell>
          <cell r="E44">
            <v>1362</v>
          </cell>
          <cell r="F44">
            <v>2341.5729999999999</v>
          </cell>
          <cell r="G44">
            <v>1440</v>
          </cell>
          <cell r="H44">
            <v>3322.9270000000001</v>
          </cell>
          <cell r="I44">
            <v>7835</v>
          </cell>
          <cell r="J44">
            <v>14883.255000000003</v>
          </cell>
          <cell r="K44">
            <v>3132</v>
          </cell>
          <cell r="L44">
            <v>6394.1530000000002</v>
          </cell>
          <cell r="M44">
            <v>5767</v>
          </cell>
          <cell r="N44">
            <v>14358.670999999998</v>
          </cell>
          <cell r="O44">
            <v>3596</v>
          </cell>
          <cell r="P44">
            <v>9674.68</v>
          </cell>
          <cell r="Q44">
            <v>2756</v>
          </cell>
          <cell r="R44">
            <v>5989.0069999999987</v>
          </cell>
          <cell r="S44">
            <v>9519</v>
          </cell>
          <cell r="T44">
            <v>21306.791999999998</v>
          </cell>
          <cell r="U44">
            <v>5179</v>
          </cell>
          <cell r="V44">
            <v>10836.050999999998</v>
          </cell>
          <cell r="W44">
            <v>3430</v>
          </cell>
          <cell r="X44">
            <v>10002.923000000001</v>
          </cell>
          <cell r="Y44">
            <v>4262</v>
          </cell>
          <cell r="Z44">
            <v>11130.634999999998</v>
          </cell>
          <cell r="AA44">
            <v>2377</v>
          </cell>
          <cell r="AB44">
            <v>4265.0630000000001</v>
          </cell>
          <cell r="AC44" t="e">
            <v>#REF!</v>
          </cell>
        </row>
        <row r="45">
          <cell r="A45" t="str">
            <v>52941247</v>
          </cell>
          <cell r="B45" t="str">
            <v>고려칠감</v>
          </cell>
          <cell r="C45">
            <v>21599</v>
          </cell>
          <cell r="D45">
            <v>61216.044999999998</v>
          </cell>
          <cell r="E45">
            <v>3606</v>
          </cell>
          <cell r="F45">
            <v>9584.4749999999985</v>
          </cell>
          <cell r="G45">
            <v>661</v>
          </cell>
          <cell r="H45">
            <v>1894.2589999999996</v>
          </cell>
          <cell r="I45">
            <v>1218</v>
          </cell>
          <cell r="J45">
            <v>3232.3880000000004</v>
          </cell>
          <cell r="K45">
            <v>4035</v>
          </cell>
          <cell r="L45">
            <v>11970.261999999999</v>
          </cell>
          <cell r="M45">
            <v>2800</v>
          </cell>
          <cell r="N45">
            <v>5203.9070000000011</v>
          </cell>
          <cell r="O45">
            <v>1582</v>
          </cell>
          <cell r="P45">
            <v>4906.9219999999996</v>
          </cell>
          <cell r="Q45">
            <v>14</v>
          </cell>
          <cell r="R45">
            <v>77.731999999999999</v>
          </cell>
          <cell r="S45">
            <v>14</v>
          </cell>
          <cell r="T45">
            <v>81.756</v>
          </cell>
          <cell r="U45">
            <v>15</v>
          </cell>
          <cell r="V45">
            <v>82.694000000000003</v>
          </cell>
          <cell r="W45">
            <v>15</v>
          </cell>
          <cell r="X45">
            <v>88.085999999999999</v>
          </cell>
          <cell r="Y45">
            <v>4672</v>
          </cell>
          <cell r="Z45">
            <v>17590.267</v>
          </cell>
          <cell r="AA45">
            <v>2959</v>
          </cell>
          <cell r="AB45">
            <v>6503.2970000000005</v>
          </cell>
          <cell r="AC45" t="e">
            <v>#REF!</v>
          </cell>
        </row>
        <row r="46">
          <cell r="A46" t="str">
            <v>57289447</v>
          </cell>
          <cell r="B46" t="str">
            <v>고려페인트(솔빛상사)</v>
          </cell>
          <cell r="C46">
            <v>6817</v>
          </cell>
          <cell r="D46">
            <v>14359.431</v>
          </cell>
          <cell r="E46">
            <v>1</v>
          </cell>
          <cell r="F46">
            <v>2.2930000000000001</v>
          </cell>
          <cell r="G46">
            <v>1</v>
          </cell>
          <cell r="H46">
            <v>2.6549999999999998</v>
          </cell>
          <cell r="I46">
            <v>1</v>
          </cell>
          <cell r="J46">
            <v>3.3149999999999999</v>
          </cell>
          <cell r="K46">
            <v>1</v>
          </cell>
          <cell r="L46">
            <v>3.1190000000000002</v>
          </cell>
          <cell r="M46">
            <v>5287</v>
          </cell>
          <cell r="N46">
            <v>11923.118</v>
          </cell>
          <cell r="O46">
            <v>1524</v>
          </cell>
          <cell r="P46">
            <v>2405.9949999999999</v>
          </cell>
          <cell r="Q46">
            <v>1</v>
          </cell>
          <cell r="R46">
            <v>2.9910000000000001</v>
          </cell>
          <cell r="S46">
            <v>1</v>
          </cell>
          <cell r="T46">
            <v>3.1459999999999999</v>
          </cell>
          <cell r="U46">
            <v>1</v>
          </cell>
          <cell r="V46">
            <v>3.1819999999999999</v>
          </cell>
          <cell r="W46">
            <v>1</v>
          </cell>
          <cell r="X46">
            <v>3.39</v>
          </cell>
          <cell r="Y46">
            <v>1</v>
          </cell>
          <cell r="Z46">
            <v>3.6859999999999999</v>
          </cell>
          <cell r="AA46">
            <v>1</v>
          </cell>
          <cell r="AB46">
            <v>2.5409999999999999</v>
          </cell>
          <cell r="AC46" t="e">
            <v>#REF!</v>
          </cell>
        </row>
        <row r="47">
          <cell r="A47" t="str">
            <v>37891147</v>
          </cell>
          <cell r="B47" t="str">
            <v>고려페인트대동상사</v>
          </cell>
          <cell r="C47">
            <v>18305</v>
          </cell>
          <cell r="D47">
            <v>66046.3</v>
          </cell>
          <cell r="E47">
            <v>1028</v>
          </cell>
          <cell r="F47">
            <v>3845.7809999999999</v>
          </cell>
          <cell r="G47">
            <v>1253</v>
          </cell>
          <cell r="H47">
            <v>4995.5780000000004</v>
          </cell>
          <cell r="I47">
            <v>229</v>
          </cell>
          <cell r="J47">
            <v>1013.606</v>
          </cell>
          <cell r="K47">
            <v>947</v>
          </cell>
          <cell r="L47">
            <v>2784.1189999999997</v>
          </cell>
          <cell r="M47">
            <v>1644</v>
          </cell>
          <cell r="N47">
            <v>6427.54</v>
          </cell>
          <cell r="O47">
            <v>1587</v>
          </cell>
          <cell r="P47">
            <v>5865.6110000000008</v>
          </cell>
          <cell r="Q47">
            <v>2095</v>
          </cell>
          <cell r="R47">
            <v>7141.5540000000001</v>
          </cell>
          <cell r="S47">
            <v>2228</v>
          </cell>
          <cell r="T47">
            <v>6360.6639999999989</v>
          </cell>
          <cell r="U47">
            <v>2665</v>
          </cell>
          <cell r="V47">
            <v>11180.566000000001</v>
          </cell>
          <cell r="W47">
            <v>1573</v>
          </cell>
          <cell r="X47">
            <v>4709.0990000000002</v>
          </cell>
          <cell r="Y47">
            <v>2009</v>
          </cell>
          <cell r="Z47">
            <v>7497.9369999999999</v>
          </cell>
          <cell r="AA47">
            <v>1044</v>
          </cell>
          <cell r="AB47">
            <v>4224.2449999999999</v>
          </cell>
          <cell r="AC47" t="e">
            <v>#REF!</v>
          </cell>
        </row>
        <row r="48">
          <cell r="A48" t="str">
            <v>14230247</v>
          </cell>
          <cell r="B48" t="str">
            <v>고려페인트상사</v>
          </cell>
          <cell r="C48">
            <v>68596</v>
          </cell>
          <cell r="D48">
            <v>263629.13899999997</v>
          </cell>
          <cell r="E48">
            <v>4887</v>
          </cell>
          <cell r="F48">
            <v>19067.928</v>
          </cell>
          <cell r="G48">
            <v>4932</v>
          </cell>
          <cell r="H48">
            <v>19297.620999999996</v>
          </cell>
          <cell r="I48">
            <v>5306</v>
          </cell>
          <cell r="J48">
            <v>20144.931000000004</v>
          </cell>
          <cell r="K48">
            <v>7345</v>
          </cell>
          <cell r="L48">
            <v>26675.368000000006</v>
          </cell>
          <cell r="M48">
            <v>5155</v>
          </cell>
          <cell r="N48">
            <v>20920.156999999999</v>
          </cell>
          <cell r="O48">
            <v>6076</v>
          </cell>
          <cell r="P48">
            <v>23945.041000000001</v>
          </cell>
          <cell r="Q48">
            <v>4434</v>
          </cell>
          <cell r="R48">
            <v>19201.773999999998</v>
          </cell>
          <cell r="S48">
            <v>5309</v>
          </cell>
          <cell r="T48">
            <v>20322.73799999999</v>
          </cell>
          <cell r="U48">
            <v>4703</v>
          </cell>
          <cell r="V48">
            <v>18625.79</v>
          </cell>
          <cell r="W48">
            <v>7089</v>
          </cell>
          <cell r="X48">
            <v>27393.500999999993</v>
          </cell>
          <cell r="Y48">
            <v>6909</v>
          </cell>
          <cell r="Z48">
            <v>25277.662000000011</v>
          </cell>
          <cell r="AA48">
            <v>6465</v>
          </cell>
          <cell r="AB48">
            <v>22756.627999999997</v>
          </cell>
          <cell r="AC48" t="e">
            <v>#REF!</v>
          </cell>
        </row>
        <row r="49">
          <cell r="A49" t="str">
            <v>34352147</v>
          </cell>
          <cell r="B49" t="str">
            <v>고려페인트상사(원미)</v>
          </cell>
          <cell r="C49">
            <v>185074</v>
          </cell>
          <cell r="D49">
            <v>440441.59899999999</v>
          </cell>
          <cell r="E49">
            <v>6220</v>
          </cell>
          <cell r="F49">
            <v>13807.996000000001</v>
          </cell>
          <cell r="G49">
            <v>4654</v>
          </cell>
          <cell r="H49">
            <v>13827.526000000002</v>
          </cell>
          <cell r="I49">
            <v>8649</v>
          </cell>
          <cell r="J49">
            <v>20718.393</v>
          </cell>
          <cell r="K49">
            <v>11516</v>
          </cell>
          <cell r="L49">
            <v>27265.036000000004</v>
          </cell>
          <cell r="M49">
            <v>13967</v>
          </cell>
          <cell r="N49">
            <v>32472.825000000008</v>
          </cell>
          <cell r="O49">
            <v>12437</v>
          </cell>
          <cell r="P49">
            <v>29859.055</v>
          </cell>
          <cell r="Q49">
            <v>8639</v>
          </cell>
          <cell r="R49">
            <v>20521.304</v>
          </cell>
          <cell r="S49">
            <v>7682</v>
          </cell>
          <cell r="T49">
            <v>21429.322999999997</v>
          </cell>
          <cell r="U49">
            <v>12749</v>
          </cell>
          <cell r="V49">
            <v>30000.974999999999</v>
          </cell>
          <cell r="W49">
            <v>39743</v>
          </cell>
          <cell r="X49">
            <v>92974.486999999979</v>
          </cell>
          <cell r="Y49">
            <v>41676</v>
          </cell>
          <cell r="Z49">
            <v>86611.458999999988</v>
          </cell>
          <cell r="AA49">
            <v>17145</v>
          </cell>
          <cell r="AB49">
            <v>50953.22</v>
          </cell>
          <cell r="AC49" t="e">
            <v>#REF!</v>
          </cell>
        </row>
        <row r="50">
          <cell r="A50" t="str">
            <v>14225847</v>
          </cell>
          <cell r="B50" t="str">
            <v>고려페인트청우상사</v>
          </cell>
          <cell r="C50">
            <v>49332</v>
          </cell>
          <cell r="D50">
            <v>159289.79999999999</v>
          </cell>
          <cell r="E50">
            <v>2040</v>
          </cell>
          <cell r="F50">
            <v>6237.3810000000003</v>
          </cell>
          <cell r="G50">
            <v>3662</v>
          </cell>
          <cell r="H50">
            <v>14164.48</v>
          </cell>
          <cell r="I50">
            <v>4328</v>
          </cell>
          <cell r="J50">
            <v>15459.303000000002</v>
          </cell>
          <cell r="K50">
            <v>6330</v>
          </cell>
          <cell r="L50">
            <v>23165.232</v>
          </cell>
          <cell r="M50">
            <v>3561</v>
          </cell>
          <cell r="N50">
            <v>8641.728000000001</v>
          </cell>
          <cell r="O50">
            <v>3588</v>
          </cell>
          <cell r="P50">
            <v>11162.652</v>
          </cell>
          <cell r="Q50">
            <v>2775</v>
          </cell>
          <cell r="R50">
            <v>9148.2309999999998</v>
          </cell>
          <cell r="S50">
            <v>5659</v>
          </cell>
          <cell r="T50">
            <v>17842.650000000001</v>
          </cell>
          <cell r="U50">
            <v>3112</v>
          </cell>
          <cell r="V50">
            <v>11555.739</v>
          </cell>
          <cell r="W50">
            <v>3915</v>
          </cell>
          <cell r="X50">
            <v>16221.71</v>
          </cell>
          <cell r="Y50">
            <v>8303</v>
          </cell>
          <cell r="Z50">
            <v>20714.793999999998</v>
          </cell>
          <cell r="AA50">
            <v>2060</v>
          </cell>
          <cell r="AB50">
            <v>4975.8999999999996</v>
          </cell>
          <cell r="AC50" t="e">
            <v>#REF!</v>
          </cell>
        </row>
        <row r="51">
          <cell r="A51" t="str">
            <v>38882345</v>
          </cell>
          <cell r="B51" t="str">
            <v>그랜드건설(주)</v>
          </cell>
          <cell r="C51">
            <v>57486</v>
          </cell>
          <cell r="D51">
            <v>131835.769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1194</v>
          </cell>
          <cell r="J51">
            <v>2535.1239999999998</v>
          </cell>
          <cell r="K51">
            <v>14201</v>
          </cell>
          <cell r="L51">
            <v>37080.188999999998</v>
          </cell>
          <cell r="M51">
            <v>10835</v>
          </cell>
          <cell r="N51">
            <v>24298.978999999999</v>
          </cell>
          <cell r="O51">
            <v>1413</v>
          </cell>
          <cell r="P51">
            <v>2865.1219999999998</v>
          </cell>
          <cell r="Q51">
            <v>27</v>
          </cell>
          <cell r="R51">
            <v>102.693</v>
          </cell>
          <cell r="S51">
            <v>4469</v>
          </cell>
          <cell r="T51">
            <v>9950.3279999999995</v>
          </cell>
          <cell r="U51">
            <v>3601</v>
          </cell>
          <cell r="V51">
            <v>7688.8550000000005</v>
          </cell>
          <cell r="W51">
            <v>10083</v>
          </cell>
          <cell r="X51">
            <v>22949.996999999996</v>
          </cell>
          <cell r="Y51">
            <v>11663</v>
          </cell>
          <cell r="Z51">
            <v>24364.482000000004</v>
          </cell>
          <cell r="AA51">
            <v>0</v>
          </cell>
          <cell r="AB51">
            <v>0</v>
          </cell>
          <cell r="AC51" t="e">
            <v>#REF!</v>
          </cell>
        </row>
        <row r="52">
          <cell r="A52" t="str">
            <v>32995947</v>
          </cell>
          <cell r="B52" t="str">
            <v>다우케미칼</v>
          </cell>
          <cell r="C52">
            <v>8892</v>
          </cell>
          <cell r="D52">
            <v>57374.178</v>
          </cell>
          <cell r="E52">
            <v>455</v>
          </cell>
          <cell r="F52">
            <v>2818.3679999999995</v>
          </cell>
          <cell r="G52">
            <v>631</v>
          </cell>
          <cell r="H52">
            <v>3121.1460000000002</v>
          </cell>
          <cell r="I52">
            <v>575</v>
          </cell>
          <cell r="J52">
            <v>3282.645</v>
          </cell>
          <cell r="K52">
            <v>398</v>
          </cell>
          <cell r="L52">
            <v>2304.58</v>
          </cell>
          <cell r="M52">
            <v>665</v>
          </cell>
          <cell r="N52">
            <v>4280.1920000000018</v>
          </cell>
          <cell r="O52">
            <v>2127</v>
          </cell>
          <cell r="P52">
            <v>13150.572000000002</v>
          </cell>
          <cell r="Q52">
            <v>436</v>
          </cell>
          <cell r="R52">
            <v>4187.8059999999996</v>
          </cell>
          <cell r="S52">
            <v>759</v>
          </cell>
          <cell r="T52">
            <v>4212.6189999999997</v>
          </cell>
          <cell r="U52">
            <v>853</v>
          </cell>
          <cell r="V52">
            <v>4997.4369999999999</v>
          </cell>
          <cell r="W52">
            <v>606</v>
          </cell>
          <cell r="X52">
            <v>3605.7850000000008</v>
          </cell>
          <cell r="Y52">
            <v>988</v>
          </cell>
          <cell r="Z52">
            <v>9320.5609999999997</v>
          </cell>
          <cell r="AA52">
            <v>408</v>
          </cell>
          <cell r="AB52">
            <v>2092.4670000000006</v>
          </cell>
          <cell r="AC52" t="e">
            <v>#REF!</v>
          </cell>
        </row>
        <row r="53">
          <cell r="A53" t="str">
            <v>32995978</v>
          </cell>
          <cell r="B53" t="str">
            <v>다우케미칼</v>
          </cell>
          <cell r="C53">
            <v>168735</v>
          </cell>
          <cell r="D53">
            <v>774836.43200000003</v>
          </cell>
          <cell r="E53">
            <v>9470</v>
          </cell>
          <cell r="F53">
            <v>44393.133999999998</v>
          </cell>
          <cell r="G53">
            <v>14118</v>
          </cell>
          <cell r="H53">
            <v>66190.903999999995</v>
          </cell>
          <cell r="I53">
            <v>15011</v>
          </cell>
          <cell r="J53">
            <v>66294.994000000006</v>
          </cell>
          <cell r="K53">
            <v>17409</v>
          </cell>
          <cell r="L53">
            <v>78518.727999999988</v>
          </cell>
          <cell r="M53">
            <v>15219</v>
          </cell>
          <cell r="N53">
            <v>70229.229000000021</v>
          </cell>
          <cell r="O53">
            <v>14004</v>
          </cell>
          <cell r="P53">
            <v>63397.47</v>
          </cell>
          <cell r="Q53">
            <v>17463</v>
          </cell>
          <cell r="R53">
            <v>80412.068999999989</v>
          </cell>
          <cell r="S53">
            <v>11775</v>
          </cell>
          <cell r="T53">
            <v>54218.865000000005</v>
          </cell>
          <cell r="U53">
            <v>16575</v>
          </cell>
          <cell r="V53">
            <v>78500.767999999982</v>
          </cell>
          <cell r="W53">
            <v>11422</v>
          </cell>
          <cell r="X53">
            <v>50850.507000000005</v>
          </cell>
          <cell r="Y53">
            <v>14930</v>
          </cell>
          <cell r="Z53">
            <v>68973.755000000005</v>
          </cell>
          <cell r="AA53">
            <v>11342</v>
          </cell>
          <cell r="AB53">
            <v>52856.009000000005</v>
          </cell>
          <cell r="AC53" t="e">
            <v>#REF!</v>
          </cell>
        </row>
        <row r="54">
          <cell r="A54" t="str">
            <v>32514345</v>
          </cell>
          <cell r="B54" t="str">
            <v>대건도장</v>
          </cell>
          <cell r="C54">
            <v>25063</v>
          </cell>
          <cell r="D54">
            <v>84749</v>
          </cell>
          <cell r="E54">
            <v>294</v>
          </cell>
          <cell r="F54">
            <v>867.99</v>
          </cell>
          <cell r="G54">
            <v>4451</v>
          </cell>
          <cell r="H54">
            <v>14047.602000000001</v>
          </cell>
          <cell r="I54">
            <v>4530</v>
          </cell>
          <cell r="J54">
            <v>17076.811999999998</v>
          </cell>
          <cell r="K54">
            <v>1687</v>
          </cell>
          <cell r="L54">
            <v>5937.277</v>
          </cell>
          <cell r="M54">
            <v>543</v>
          </cell>
          <cell r="N54">
            <v>1077.701</v>
          </cell>
          <cell r="O54">
            <v>5</v>
          </cell>
          <cell r="P54">
            <v>27.099</v>
          </cell>
          <cell r="Q54">
            <v>890</v>
          </cell>
          <cell r="R54">
            <v>3367.6090000000004</v>
          </cell>
          <cell r="S54">
            <v>1744</v>
          </cell>
          <cell r="T54">
            <v>7430.3969999999999</v>
          </cell>
          <cell r="U54">
            <v>3751</v>
          </cell>
          <cell r="V54">
            <v>10347.638999999999</v>
          </cell>
          <cell r="W54">
            <v>1264</v>
          </cell>
          <cell r="X54">
            <v>4028.7570000000001</v>
          </cell>
          <cell r="Y54">
            <v>370</v>
          </cell>
          <cell r="Z54">
            <v>1127.992</v>
          </cell>
          <cell r="AA54">
            <v>5534</v>
          </cell>
          <cell r="AB54">
            <v>19412.125</v>
          </cell>
          <cell r="AC54" t="e">
            <v>#REF!</v>
          </cell>
        </row>
        <row r="55">
          <cell r="A55" t="str">
            <v>52007745</v>
          </cell>
          <cell r="B55" t="str">
            <v>대광건영(주)</v>
          </cell>
          <cell r="C55">
            <v>8973</v>
          </cell>
          <cell r="D55">
            <v>20708.664000000001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91</v>
          </cell>
          <cell r="J55">
            <v>697.71600000000001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7400</v>
          </cell>
          <cell r="T55">
            <v>14155.257</v>
          </cell>
          <cell r="U55">
            <v>0</v>
          </cell>
          <cell r="V55">
            <v>0</v>
          </cell>
          <cell r="W55">
            <v>897</v>
          </cell>
          <cell r="X55">
            <v>3184.1419999999998</v>
          </cell>
          <cell r="Y55">
            <v>585</v>
          </cell>
          <cell r="Z55">
            <v>2671.549</v>
          </cell>
          <cell r="AA55">
            <v>0</v>
          </cell>
          <cell r="AB55">
            <v>0</v>
          </cell>
          <cell r="AC55" t="e">
            <v>#REF!</v>
          </cell>
        </row>
        <row r="56">
          <cell r="A56" t="str">
            <v>51293847</v>
          </cell>
          <cell r="B56" t="str">
            <v>대륙상사</v>
          </cell>
          <cell r="C56">
            <v>32801</v>
          </cell>
          <cell r="D56">
            <v>137236.60799999998</v>
          </cell>
          <cell r="E56">
            <v>1896</v>
          </cell>
          <cell r="F56">
            <v>9934.3510000000006</v>
          </cell>
          <cell r="G56">
            <v>1824</v>
          </cell>
          <cell r="H56">
            <v>8663.2489999999998</v>
          </cell>
          <cell r="I56">
            <v>4237</v>
          </cell>
          <cell r="J56">
            <v>15505.484</v>
          </cell>
          <cell r="K56">
            <v>1971</v>
          </cell>
          <cell r="L56">
            <v>9791.1180000000022</v>
          </cell>
          <cell r="M56">
            <v>1904</v>
          </cell>
          <cell r="N56">
            <v>8591.34</v>
          </cell>
          <cell r="O56">
            <v>2536</v>
          </cell>
          <cell r="P56">
            <v>10458.074999999999</v>
          </cell>
          <cell r="Q56">
            <v>1621</v>
          </cell>
          <cell r="R56">
            <v>7661.9589999999998</v>
          </cell>
          <cell r="S56">
            <v>2135</v>
          </cell>
          <cell r="T56">
            <v>9901.2219999999979</v>
          </cell>
          <cell r="U56">
            <v>2932</v>
          </cell>
          <cell r="V56">
            <v>11116.116</v>
          </cell>
          <cell r="W56">
            <v>4401</v>
          </cell>
          <cell r="X56">
            <v>17473.71</v>
          </cell>
          <cell r="Y56">
            <v>5927</v>
          </cell>
          <cell r="Z56">
            <v>20176.503000000004</v>
          </cell>
          <cell r="AA56">
            <v>1417</v>
          </cell>
          <cell r="AB56">
            <v>7963.4809999999998</v>
          </cell>
          <cell r="AC56" t="e">
            <v>#REF!</v>
          </cell>
        </row>
        <row r="57">
          <cell r="A57" t="str">
            <v>36506147</v>
          </cell>
          <cell r="B57" t="str">
            <v>대부상사</v>
          </cell>
          <cell r="C57">
            <v>192403</v>
          </cell>
          <cell r="D57">
            <v>443697.022</v>
          </cell>
          <cell r="E57">
            <v>5325</v>
          </cell>
          <cell r="F57">
            <v>12165.791000000001</v>
          </cell>
          <cell r="G57">
            <v>4256</v>
          </cell>
          <cell r="H57">
            <v>11105.959000000001</v>
          </cell>
          <cell r="I57">
            <v>13608</v>
          </cell>
          <cell r="J57">
            <v>32117.51</v>
          </cell>
          <cell r="K57">
            <v>19309</v>
          </cell>
          <cell r="L57">
            <v>43168.93</v>
          </cell>
          <cell r="M57">
            <v>15945</v>
          </cell>
          <cell r="N57">
            <v>36877.637999999992</v>
          </cell>
          <cell r="O57">
            <v>23900</v>
          </cell>
          <cell r="P57">
            <v>54924.566000000013</v>
          </cell>
          <cell r="Q57">
            <v>10723</v>
          </cell>
          <cell r="R57">
            <v>26509.566999999995</v>
          </cell>
          <cell r="S57">
            <v>20089</v>
          </cell>
          <cell r="T57">
            <v>50742.383999999998</v>
          </cell>
          <cell r="U57">
            <v>20156</v>
          </cell>
          <cell r="V57">
            <v>41153.010999999999</v>
          </cell>
          <cell r="W57">
            <v>23631</v>
          </cell>
          <cell r="X57">
            <v>55226.449000000001</v>
          </cell>
          <cell r="Y57">
            <v>22378</v>
          </cell>
          <cell r="Z57">
            <v>53460.728000000003</v>
          </cell>
          <cell r="AA57">
            <v>13083</v>
          </cell>
          <cell r="AB57">
            <v>26244.488999999998</v>
          </cell>
          <cell r="AC57" t="e">
            <v>#REF!</v>
          </cell>
        </row>
        <row r="58">
          <cell r="A58" t="str">
            <v>49596145</v>
          </cell>
          <cell r="B58" t="str">
            <v>대성티앤씨(주)</v>
          </cell>
          <cell r="C58">
            <v>30125</v>
          </cell>
          <cell r="D58">
            <v>41204.684999999998</v>
          </cell>
          <cell r="E58">
            <v>1503</v>
          </cell>
          <cell r="F58">
            <v>1370.223</v>
          </cell>
          <cell r="G58">
            <v>2626</v>
          </cell>
          <cell r="H58">
            <v>4571.3779999999997</v>
          </cell>
          <cell r="I58">
            <v>2279</v>
          </cell>
          <cell r="J58">
            <v>4207.99</v>
          </cell>
          <cell r="K58">
            <v>1900</v>
          </cell>
          <cell r="L58">
            <v>1466.4660000000001</v>
          </cell>
          <cell r="M58">
            <v>763</v>
          </cell>
          <cell r="N58">
            <v>529.54899999999998</v>
          </cell>
          <cell r="O58">
            <v>5539</v>
          </cell>
          <cell r="P58">
            <v>9428.1740000000009</v>
          </cell>
          <cell r="Q58">
            <v>4939</v>
          </cell>
          <cell r="R58">
            <v>4571.7090000000007</v>
          </cell>
          <cell r="S58">
            <v>536</v>
          </cell>
          <cell r="T58">
            <v>842.08899999999994</v>
          </cell>
          <cell r="U58">
            <v>352</v>
          </cell>
          <cell r="V58">
            <v>973.89400000000012</v>
          </cell>
          <cell r="W58">
            <v>2960</v>
          </cell>
          <cell r="X58">
            <v>4696.0070000000005</v>
          </cell>
          <cell r="Y58">
            <v>5772</v>
          </cell>
          <cell r="Z58">
            <v>5562.5929999999989</v>
          </cell>
          <cell r="AA58">
            <v>959</v>
          </cell>
          <cell r="AB58">
            <v>2984.6130000000003</v>
          </cell>
          <cell r="AC58" t="e">
            <v>#REF!</v>
          </cell>
        </row>
        <row r="59">
          <cell r="A59" t="str">
            <v>01165477</v>
          </cell>
          <cell r="B59" t="str">
            <v>대우산업</v>
          </cell>
          <cell r="C59">
            <v>682</v>
          </cell>
          <cell r="D59">
            <v>3999.7049999999999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682</v>
          </cell>
          <cell r="P59">
            <v>3999.7049999999999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 t="e">
            <v>#REF!</v>
          </cell>
        </row>
        <row r="60">
          <cell r="A60" t="str">
            <v>42083773</v>
          </cell>
          <cell r="B60" t="str">
            <v>대원강업(주)주안공장</v>
          </cell>
          <cell r="C60">
            <v>56555</v>
          </cell>
          <cell r="D60">
            <v>242773.61499999999</v>
          </cell>
          <cell r="E60">
            <v>4396</v>
          </cell>
          <cell r="F60">
            <v>18608.02</v>
          </cell>
          <cell r="G60">
            <v>5875</v>
          </cell>
          <cell r="H60">
            <v>25471.527999999998</v>
          </cell>
          <cell r="I60">
            <v>5685</v>
          </cell>
          <cell r="J60">
            <v>24370.455000000002</v>
          </cell>
          <cell r="K60">
            <v>4361</v>
          </cell>
          <cell r="L60">
            <v>18755.118999999999</v>
          </cell>
          <cell r="M60">
            <v>3855</v>
          </cell>
          <cell r="N60">
            <v>16841.035</v>
          </cell>
          <cell r="O60">
            <v>4150</v>
          </cell>
          <cell r="P60">
            <v>17584.082999999999</v>
          </cell>
          <cell r="Q60">
            <v>5495</v>
          </cell>
          <cell r="R60">
            <v>24146.345000000001</v>
          </cell>
          <cell r="S60">
            <v>3695</v>
          </cell>
          <cell r="T60">
            <v>15421.862999999999</v>
          </cell>
          <cell r="U60">
            <v>3976</v>
          </cell>
          <cell r="V60">
            <v>17432.112000000001</v>
          </cell>
          <cell r="W60">
            <v>6416</v>
          </cell>
          <cell r="X60">
            <v>27191.258000000002</v>
          </cell>
          <cell r="Y60">
            <v>5603</v>
          </cell>
          <cell r="Z60">
            <v>23845.698</v>
          </cell>
          <cell r="AA60">
            <v>3049</v>
          </cell>
          <cell r="AB60">
            <v>13106.099</v>
          </cell>
          <cell r="AC60" t="e">
            <v>#REF!</v>
          </cell>
        </row>
        <row r="61">
          <cell r="A61" t="str">
            <v>50938445</v>
          </cell>
          <cell r="B61" t="str">
            <v>대원건축</v>
          </cell>
          <cell r="C61">
            <v>16599</v>
          </cell>
          <cell r="D61">
            <v>41866.995999999999</v>
          </cell>
          <cell r="E61">
            <v>296</v>
          </cell>
          <cell r="F61">
            <v>551.87800000000004</v>
          </cell>
          <cell r="G61">
            <v>0</v>
          </cell>
          <cell r="H61">
            <v>0</v>
          </cell>
          <cell r="I61">
            <v>2210</v>
          </cell>
          <cell r="J61">
            <v>5862.652</v>
          </cell>
          <cell r="K61">
            <v>1225</v>
          </cell>
          <cell r="L61">
            <v>5222.268</v>
          </cell>
          <cell r="M61">
            <v>0</v>
          </cell>
          <cell r="N61">
            <v>0</v>
          </cell>
          <cell r="O61">
            <v>1653</v>
          </cell>
          <cell r="P61">
            <v>3314.569</v>
          </cell>
          <cell r="Q61">
            <v>3797</v>
          </cell>
          <cell r="R61">
            <v>10021.913999999999</v>
          </cell>
          <cell r="S61">
            <v>3557</v>
          </cell>
          <cell r="T61">
            <v>9092.5379999999986</v>
          </cell>
          <cell r="U61">
            <v>3859</v>
          </cell>
          <cell r="V61">
            <v>7801.1769999999997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 t="e">
            <v>#REF!</v>
          </cell>
        </row>
        <row r="62">
          <cell r="A62" t="str">
            <v>35166448</v>
          </cell>
          <cell r="B62" t="str">
            <v>대인상사</v>
          </cell>
          <cell r="C62">
            <v>79680</v>
          </cell>
          <cell r="D62">
            <v>514652.84</v>
          </cell>
          <cell r="E62">
            <v>4655</v>
          </cell>
          <cell r="F62">
            <v>31170.263000000003</v>
          </cell>
          <cell r="G62">
            <v>5473</v>
          </cell>
          <cell r="H62">
            <v>35871.763999999996</v>
          </cell>
          <cell r="I62">
            <v>6982</v>
          </cell>
          <cell r="J62">
            <v>46137.943999999996</v>
          </cell>
          <cell r="K62">
            <v>7453</v>
          </cell>
          <cell r="L62">
            <v>45041.406000000003</v>
          </cell>
          <cell r="M62">
            <v>7018</v>
          </cell>
          <cell r="N62">
            <v>44789.969000000005</v>
          </cell>
          <cell r="O62">
            <v>7621</v>
          </cell>
          <cell r="P62">
            <v>48768.488999999987</v>
          </cell>
          <cell r="Q62">
            <v>6372</v>
          </cell>
          <cell r="R62">
            <v>40985.269</v>
          </cell>
          <cell r="S62">
            <v>6487</v>
          </cell>
          <cell r="T62">
            <v>44057.738000000005</v>
          </cell>
          <cell r="U62">
            <v>7104</v>
          </cell>
          <cell r="V62">
            <v>44144.116000000002</v>
          </cell>
          <cell r="W62">
            <v>7422</v>
          </cell>
          <cell r="X62">
            <v>48589.362000000001</v>
          </cell>
          <cell r="Y62">
            <v>7780</v>
          </cell>
          <cell r="Z62">
            <v>50265.64899999999</v>
          </cell>
          <cell r="AA62">
            <v>5320</v>
          </cell>
          <cell r="AB62">
            <v>34830.870999999999</v>
          </cell>
          <cell r="AC62" t="e">
            <v>#REF!</v>
          </cell>
        </row>
        <row r="63">
          <cell r="A63" t="str">
            <v>00654445</v>
          </cell>
          <cell r="B63" t="str">
            <v>대인페인트</v>
          </cell>
          <cell r="C63">
            <v>24437</v>
          </cell>
          <cell r="D63">
            <v>65032.124000000003</v>
          </cell>
          <cell r="E63">
            <v>680</v>
          </cell>
          <cell r="F63">
            <v>945.29099999999994</v>
          </cell>
          <cell r="G63">
            <v>441</v>
          </cell>
          <cell r="H63">
            <v>1257.788</v>
          </cell>
          <cell r="I63">
            <v>840</v>
          </cell>
          <cell r="J63">
            <v>2709.3469999999998</v>
          </cell>
          <cell r="K63">
            <v>3486</v>
          </cell>
          <cell r="L63">
            <v>6925.3320000000003</v>
          </cell>
          <cell r="M63">
            <v>1440</v>
          </cell>
          <cell r="N63">
            <v>4184.9790000000003</v>
          </cell>
          <cell r="O63">
            <v>3056</v>
          </cell>
          <cell r="P63">
            <v>9800.5560000000005</v>
          </cell>
          <cell r="Q63">
            <v>1794</v>
          </cell>
          <cell r="R63">
            <v>6664.0459999999994</v>
          </cell>
          <cell r="S63">
            <v>2353</v>
          </cell>
          <cell r="T63">
            <v>7549.95</v>
          </cell>
          <cell r="U63">
            <v>1208</v>
          </cell>
          <cell r="V63">
            <v>2655.643</v>
          </cell>
          <cell r="W63">
            <v>3999</v>
          </cell>
          <cell r="X63">
            <v>11266.046</v>
          </cell>
          <cell r="Y63">
            <v>2160</v>
          </cell>
          <cell r="Z63">
            <v>5115.898000000001</v>
          </cell>
          <cell r="AA63">
            <v>2980</v>
          </cell>
          <cell r="AB63">
            <v>5957.2479999999996</v>
          </cell>
          <cell r="AC63" t="e">
            <v>#REF!</v>
          </cell>
        </row>
        <row r="64">
          <cell r="A64" t="str">
            <v>00818947</v>
          </cell>
          <cell r="B64" t="str">
            <v>대한P사</v>
          </cell>
          <cell r="C64">
            <v>305235</v>
          </cell>
          <cell r="D64">
            <v>666171.27</v>
          </cell>
          <cell r="E64">
            <v>10551</v>
          </cell>
          <cell r="F64">
            <v>23946.016</v>
          </cell>
          <cell r="G64">
            <v>10857</v>
          </cell>
          <cell r="H64">
            <v>30058.291999999998</v>
          </cell>
          <cell r="I64">
            <v>33390</v>
          </cell>
          <cell r="J64">
            <v>75696.096000000005</v>
          </cell>
          <cell r="K64">
            <v>20271</v>
          </cell>
          <cell r="L64">
            <v>48470.90400000001</v>
          </cell>
          <cell r="M64">
            <v>35098</v>
          </cell>
          <cell r="N64">
            <v>77178.441000000035</v>
          </cell>
          <cell r="O64">
            <v>34435</v>
          </cell>
          <cell r="P64">
            <v>78880.72600000001</v>
          </cell>
          <cell r="Q64">
            <v>15614</v>
          </cell>
          <cell r="R64">
            <v>31429.84</v>
          </cell>
          <cell r="S64">
            <v>28473</v>
          </cell>
          <cell r="T64">
            <v>59105.23</v>
          </cell>
          <cell r="U64">
            <v>29860</v>
          </cell>
          <cell r="V64">
            <v>62654.981000000007</v>
          </cell>
          <cell r="W64">
            <v>32581</v>
          </cell>
          <cell r="X64">
            <v>66440.136999999988</v>
          </cell>
          <cell r="Y64">
            <v>29831</v>
          </cell>
          <cell r="Z64">
            <v>67036.598999999987</v>
          </cell>
          <cell r="AA64">
            <v>24279</v>
          </cell>
          <cell r="AB64">
            <v>45274.008000000002</v>
          </cell>
          <cell r="AC64" t="e">
            <v>#REF!</v>
          </cell>
        </row>
        <row r="65">
          <cell r="A65" t="str">
            <v>00818977</v>
          </cell>
          <cell r="B65" t="str">
            <v>대한P사</v>
          </cell>
          <cell r="C65">
            <v>306</v>
          </cell>
          <cell r="D65">
            <v>1861.5159999999998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62</v>
          </cell>
          <cell r="J65">
            <v>343.47199999999998</v>
          </cell>
          <cell r="K65">
            <v>39</v>
          </cell>
          <cell r="L65">
            <v>227.08699999999999</v>
          </cell>
          <cell r="M65">
            <v>95</v>
          </cell>
          <cell r="N65">
            <v>646.12200000000007</v>
          </cell>
          <cell r="O65">
            <v>110</v>
          </cell>
          <cell r="P65">
            <v>644.83500000000004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 t="e">
            <v>#REF!</v>
          </cell>
        </row>
        <row r="66">
          <cell r="A66" t="str">
            <v>52402547</v>
          </cell>
          <cell r="B66" t="str">
            <v>대현건업</v>
          </cell>
          <cell r="C66">
            <v>10371</v>
          </cell>
          <cell r="D66">
            <v>27443.048999999999</v>
          </cell>
          <cell r="E66">
            <v>141</v>
          </cell>
          <cell r="F66">
            <v>541.22800000000007</v>
          </cell>
          <cell r="G66">
            <v>7</v>
          </cell>
          <cell r="H66">
            <v>38.582000000000001</v>
          </cell>
          <cell r="I66">
            <v>634</v>
          </cell>
          <cell r="J66">
            <v>1716.4680000000001</v>
          </cell>
          <cell r="K66">
            <v>241</v>
          </cell>
          <cell r="L66">
            <v>879.14699999999993</v>
          </cell>
          <cell r="M66">
            <v>806</v>
          </cell>
          <cell r="N66">
            <v>1269.9160000000002</v>
          </cell>
          <cell r="O66">
            <v>736</v>
          </cell>
          <cell r="P66">
            <v>990.89900000000011</v>
          </cell>
          <cell r="Q66">
            <v>8</v>
          </cell>
          <cell r="R66">
            <v>43.472999999999999</v>
          </cell>
          <cell r="S66">
            <v>8</v>
          </cell>
          <cell r="T66">
            <v>45.722999999999999</v>
          </cell>
          <cell r="U66">
            <v>5875</v>
          </cell>
          <cell r="V66">
            <v>15971.135999999999</v>
          </cell>
          <cell r="W66">
            <v>1299</v>
          </cell>
          <cell r="X66">
            <v>3670.18</v>
          </cell>
          <cell r="Y66">
            <v>617</v>
          </cell>
          <cell r="Z66">
            <v>2239.366</v>
          </cell>
          <cell r="AA66">
            <v>6</v>
          </cell>
          <cell r="AB66">
            <v>36.930999999999997</v>
          </cell>
          <cell r="AC66" t="e">
            <v>#REF!</v>
          </cell>
        </row>
        <row r="67">
          <cell r="A67" t="str">
            <v>00826942</v>
          </cell>
          <cell r="B67" t="str">
            <v>도남상사</v>
          </cell>
          <cell r="C67">
            <v>218696</v>
          </cell>
          <cell r="D67">
            <v>853999.99600000004</v>
          </cell>
          <cell r="E67">
            <v>7709</v>
          </cell>
          <cell r="F67">
            <v>27197.493999999999</v>
          </cell>
          <cell r="G67">
            <v>10549</v>
          </cell>
          <cell r="H67">
            <v>38442.634999999995</v>
          </cell>
          <cell r="I67">
            <v>13612</v>
          </cell>
          <cell r="J67">
            <v>56527.436999999998</v>
          </cell>
          <cell r="K67">
            <v>21431</v>
          </cell>
          <cell r="L67">
            <v>83820.873000000007</v>
          </cell>
          <cell r="M67">
            <v>26390</v>
          </cell>
          <cell r="N67">
            <v>104118.11200000001</v>
          </cell>
          <cell r="O67">
            <v>26473</v>
          </cell>
          <cell r="P67">
            <v>106429.353</v>
          </cell>
          <cell r="Q67">
            <v>18314</v>
          </cell>
          <cell r="R67">
            <v>71467.498999999996</v>
          </cell>
          <cell r="S67">
            <v>21064</v>
          </cell>
          <cell r="T67">
            <v>80755.821999999986</v>
          </cell>
          <cell r="U67">
            <v>24407</v>
          </cell>
          <cell r="V67">
            <v>94030.33</v>
          </cell>
          <cell r="W67">
            <v>25166</v>
          </cell>
          <cell r="X67">
            <v>99737.91800000002</v>
          </cell>
          <cell r="Y67">
            <v>14398</v>
          </cell>
          <cell r="Z67">
            <v>54711.332000000002</v>
          </cell>
          <cell r="AA67">
            <v>9184</v>
          </cell>
          <cell r="AB67">
            <v>36761.190999999999</v>
          </cell>
          <cell r="AC67" t="e">
            <v>#REF!</v>
          </cell>
        </row>
        <row r="68">
          <cell r="A68" t="str">
            <v>00826948</v>
          </cell>
          <cell r="B68" t="str">
            <v>도남상사</v>
          </cell>
          <cell r="C68">
            <v>76430</v>
          </cell>
          <cell r="D68">
            <v>298378.30500000011</v>
          </cell>
          <cell r="E68">
            <v>2854</v>
          </cell>
          <cell r="F68">
            <v>12471.951999999997</v>
          </cell>
          <cell r="G68">
            <v>3948</v>
          </cell>
          <cell r="H68">
            <v>15320.498999999996</v>
          </cell>
          <cell r="I68">
            <v>5991</v>
          </cell>
          <cell r="J68">
            <v>25206.676999999992</v>
          </cell>
          <cell r="K68">
            <v>7312</v>
          </cell>
          <cell r="L68">
            <v>26929.280999999999</v>
          </cell>
          <cell r="M68">
            <v>7904</v>
          </cell>
          <cell r="N68">
            <v>32291.051000000003</v>
          </cell>
          <cell r="O68">
            <v>7851</v>
          </cell>
          <cell r="P68">
            <v>30206.426000000003</v>
          </cell>
          <cell r="Q68">
            <v>4047</v>
          </cell>
          <cell r="R68">
            <v>18194.314000000002</v>
          </cell>
          <cell r="S68">
            <v>7804</v>
          </cell>
          <cell r="T68">
            <v>27441.118999999995</v>
          </cell>
          <cell r="U68">
            <v>9787</v>
          </cell>
          <cell r="V68">
            <v>35317.972999999998</v>
          </cell>
          <cell r="W68">
            <v>9130</v>
          </cell>
          <cell r="X68">
            <v>31920.056000000004</v>
          </cell>
          <cell r="Y68">
            <v>6194</v>
          </cell>
          <cell r="Z68">
            <v>24393.833999999995</v>
          </cell>
          <cell r="AA68">
            <v>3618</v>
          </cell>
          <cell r="AB68">
            <v>18685.122999999992</v>
          </cell>
          <cell r="AC68" t="e">
            <v>#REF!</v>
          </cell>
        </row>
        <row r="69">
          <cell r="A69" t="str">
            <v>00846878</v>
          </cell>
          <cell r="B69" t="str">
            <v>도남상사</v>
          </cell>
          <cell r="C69">
            <v>42559</v>
          </cell>
          <cell r="D69">
            <v>205350.071</v>
          </cell>
          <cell r="E69">
            <v>2505</v>
          </cell>
          <cell r="F69">
            <v>12453.341999999999</v>
          </cell>
          <cell r="G69">
            <v>2557</v>
          </cell>
          <cell r="H69">
            <v>11916.645999999999</v>
          </cell>
          <cell r="I69">
            <v>2672</v>
          </cell>
          <cell r="J69">
            <v>12912.111000000001</v>
          </cell>
          <cell r="K69">
            <v>3939</v>
          </cell>
          <cell r="L69">
            <v>18653.07</v>
          </cell>
          <cell r="M69">
            <v>5685</v>
          </cell>
          <cell r="N69">
            <v>25484.466999999993</v>
          </cell>
          <cell r="O69">
            <v>4739</v>
          </cell>
          <cell r="P69">
            <v>21127.527999999998</v>
          </cell>
          <cell r="Q69">
            <v>2300</v>
          </cell>
          <cell r="R69">
            <v>11839.691999999999</v>
          </cell>
          <cell r="S69">
            <v>4750</v>
          </cell>
          <cell r="T69">
            <v>24406.467000000001</v>
          </cell>
          <cell r="U69">
            <v>2843</v>
          </cell>
          <cell r="V69">
            <v>15940.984</v>
          </cell>
          <cell r="W69">
            <v>3395</v>
          </cell>
          <cell r="X69">
            <v>16152.944</v>
          </cell>
          <cell r="Y69">
            <v>4564</v>
          </cell>
          <cell r="Z69">
            <v>21558.007000000001</v>
          </cell>
          <cell r="AA69">
            <v>2611</v>
          </cell>
          <cell r="AB69">
            <v>12904.813</v>
          </cell>
          <cell r="AC69" t="e">
            <v>#REF!</v>
          </cell>
        </row>
        <row r="70">
          <cell r="A70" t="str">
            <v>00827254</v>
          </cell>
          <cell r="B70" t="str">
            <v>도성전자</v>
          </cell>
          <cell r="C70">
            <v>1477</v>
          </cell>
          <cell r="D70">
            <v>9203.7999999999993</v>
          </cell>
          <cell r="E70">
            <v>260</v>
          </cell>
          <cell r="F70">
            <v>1560.2959999999998</v>
          </cell>
          <cell r="G70">
            <v>12</v>
          </cell>
          <cell r="H70">
            <v>129.583</v>
          </cell>
          <cell r="I70">
            <v>32</v>
          </cell>
          <cell r="J70">
            <v>264.07400000000001</v>
          </cell>
          <cell r="K70">
            <v>15</v>
          </cell>
          <cell r="L70">
            <v>151.17899999999997</v>
          </cell>
          <cell r="M70">
            <v>12</v>
          </cell>
          <cell r="N70">
            <v>136.78100000000001</v>
          </cell>
          <cell r="O70">
            <v>15</v>
          </cell>
          <cell r="P70">
            <v>143.97999999999999</v>
          </cell>
          <cell r="Q70">
            <v>113</v>
          </cell>
          <cell r="R70">
            <v>1507.4660000000003</v>
          </cell>
          <cell r="S70">
            <v>269</v>
          </cell>
          <cell r="T70">
            <v>1554.662</v>
          </cell>
          <cell r="U70">
            <v>12</v>
          </cell>
          <cell r="V70">
            <v>136.78100000000001</v>
          </cell>
          <cell r="W70">
            <v>85</v>
          </cell>
          <cell r="X70">
            <v>323.39299999999997</v>
          </cell>
          <cell r="Y70">
            <v>638</v>
          </cell>
          <cell r="Z70">
            <v>3144.4259999999999</v>
          </cell>
          <cell r="AA70">
            <v>15</v>
          </cell>
          <cell r="AB70">
            <v>151.17899999999997</v>
          </cell>
          <cell r="AC70" t="e">
            <v>#REF!</v>
          </cell>
        </row>
        <row r="71">
          <cell r="A71" t="str">
            <v>57012378</v>
          </cell>
          <cell r="B71" t="str">
            <v>도원케미칼</v>
          </cell>
          <cell r="C71">
            <v>2064</v>
          </cell>
          <cell r="D71">
            <v>10775.145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1603</v>
          </cell>
          <cell r="N71">
            <v>8493.6350000000002</v>
          </cell>
          <cell r="O71">
            <v>461</v>
          </cell>
          <cell r="P71">
            <v>2281.5100000000002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 t="e">
            <v>#REF!</v>
          </cell>
        </row>
        <row r="72">
          <cell r="A72" t="str">
            <v>34144654</v>
          </cell>
          <cell r="B72" t="str">
            <v>동광산업</v>
          </cell>
          <cell r="C72">
            <v>3251</v>
          </cell>
          <cell r="D72">
            <v>8414.8739999999998</v>
          </cell>
          <cell r="E72">
            <v>0</v>
          </cell>
          <cell r="F72">
            <v>0</v>
          </cell>
          <cell r="G72">
            <v>176</v>
          </cell>
          <cell r="H72">
            <v>1067.5530000000001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566</v>
          </cell>
          <cell r="N72">
            <v>917.28499999999997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1046</v>
          </cell>
          <cell r="T72">
            <v>3304.585</v>
          </cell>
          <cell r="U72">
            <v>175</v>
          </cell>
          <cell r="V72">
            <v>1017.528</v>
          </cell>
          <cell r="W72">
            <v>691</v>
          </cell>
          <cell r="X72">
            <v>1135.135</v>
          </cell>
          <cell r="Y72">
            <v>0</v>
          </cell>
          <cell r="Z72">
            <v>0</v>
          </cell>
          <cell r="AA72">
            <v>596</v>
          </cell>
          <cell r="AB72">
            <v>972.78800000000001</v>
          </cell>
          <cell r="AC72" t="e">
            <v>#REF!</v>
          </cell>
        </row>
        <row r="73">
          <cell r="A73" t="str">
            <v>37621578</v>
          </cell>
          <cell r="B73" t="str">
            <v>동명상사</v>
          </cell>
          <cell r="C73">
            <v>19579</v>
          </cell>
          <cell r="D73">
            <v>92268.655999999974</v>
          </cell>
          <cell r="E73">
            <v>1473</v>
          </cell>
          <cell r="F73">
            <v>6867.9070000000011</v>
          </cell>
          <cell r="G73">
            <v>1218</v>
          </cell>
          <cell r="H73">
            <v>5629.7359999999999</v>
          </cell>
          <cell r="I73">
            <v>1614</v>
          </cell>
          <cell r="J73">
            <v>7919.4430000000002</v>
          </cell>
          <cell r="K73">
            <v>1894</v>
          </cell>
          <cell r="L73">
            <v>9254.242000000002</v>
          </cell>
          <cell r="M73">
            <v>1522</v>
          </cell>
          <cell r="N73">
            <v>7505.9880000000003</v>
          </cell>
          <cell r="O73">
            <v>977</v>
          </cell>
          <cell r="P73">
            <v>4562.5029999999997</v>
          </cell>
          <cell r="Q73">
            <v>1599</v>
          </cell>
          <cell r="R73">
            <v>7914.0940000000001</v>
          </cell>
          <cell r="S73">
            <v>1372</v>
          </cell>
          <cell r="T73">
            <v>6367.8969999999999</v>
          </cell>
          <cell r="U73">
            <v>1830</v>
          </cell>
          <cell r="V73">
            <v>8965.7869999999984</v>
          </cell>
          <cell r="W73">
            <v>3115</v>
          </cell>
          <cell r="X73">
            <v>13449.498</v>
          </cell>
          <cell r="Y73">
            <v>1481</v>
          </cell>
          <cell r="Z73">
            <v>6714.0019999999995</v>
          </cell>
          <cell r="AA73">
            <v>1483</v>
          </cell>
          <cell r="AB73">
            <v>7117.5589999999993</v>
          </cell>
          <cell r="AC73" t="e">
            <v>#REF!</v>
          </cell>
        </row>
        <row r="74">
          <cell r="A74" t="str">
            <v>51590854</v>
          </cell>
          <cell r="B74" t="str">
            <v>동부제강(주)</v>
          </cell>
          <cell r="C74">
            <v>118295</v>
          </cell>
          <cell r="D74">
            <v>403178.98500000004</v>
          </cell>
          <cell r="E74">
            <v>2366</v>
          </cell>
          <cell r="F74">
            <v>8063.5789999999997</v>
          </cell>
          <cell r="G74">
            <v>2366</v>
          </cell>
          <cell r="H74">
            <v>8063.5789999999997</v>
          </cell>
          <cell r="I74">
            <v>7098</v>
          </cell>
          <cell r="J74">
            <v>24190.738000000001</v>
          </cell>
          <cell r="K74">
            <v>9463</v>
          </cell>
          <cell r="L74">
            <v>32254.32</v>
          </cell>
          <cell r="M74">
            <v>10647</v>
          </cell>
          <cell r="N74">
            <v>36286.109000000004</v>
          </cell>
          <cell r="O74">
            <v>10647</v>
          </cell>
          <cell r="P74">
            <v>36286.109000000004</v>
          </cell>
          <cell r="Q74">
            <v>11238</v>
          </cell>
          <cell r="R74">
            <v>38302.003000000004</v>
          </cell>
          <cell r="S74">
            <v>11238</v>
          </cell>
          <cell r="T74">
            <v>38302.003000000004</v>
          </cell>
          <cell r="U74">
            <v>10647</v>
          </cell>
          <cell r="V74">
            <v>36286.109000000004</v>
          </cell>
          <cell r="W74">
            <v>14195</v>
          </cell>
          <cell r="X74">
            <v>48381.477999999996</v>
          </cell>
          <cell r="Y74">
            <v>16561</v>
          </cell>
          <cell r="Z74">
            <v>56445.057999999997</v>
          </cell>
          <cell r="AA74">
            <v>11830</v>
          </cell>
          <cell r="AB74">
            <v>40317.9</v>
          </cell>
          <cell r="AC74" t="e">
            <v>#REF!</v>
          </cell>
        </row>
        <row r="75">
          <cell r="A75" t="str">
            <v>00835273</v>
          </cell>
          <cell r="B75" t="str">
            <v>동양기전(주)</v>
          </cell>
          <cell r="C75">
            <v>48746</v>
          </cell>
          <cell r="D75">
            <v>280216.53200000001</v>
          </cell>
          <cell r="E75">
            <v>6231</v>
          </cell>
          <cell r="F75">
            <v>35328.824999999997</v>
          </cell>
          <cell r="G75">
            <v>3173</v>
          </cell>
          <cell r="H75">
            <v>18422.759999999998</v>
          </cell>
          <cell r="I75">
            <v>3767</v>
          </cell>
          <cell r="J75">
            <v>21632.385999999999</v>
          </cell>
          <cell r="K75">
            <v>6542</v>
          </cell>
          <cell r="L75">
            <v>37680.533000000003</v>
          </cell>
          <cell r="M75">
            <v>2992</v>
          </cell>
          <cell r="N75">
            <v>17509.603999999999</v>
          </cell>
          <cell r="O75">
            <v>2490</v>
          </cell>
          <cell r="P75">
            <v>14131.130999999999</v>
          </cell>
          <cell r="Q75">
            <v>4046</v>
          </cell>
          <cell r="R75">
            <v>23814.951000000001</v>
          </cell>
          <cell r="S75">
            <v>2565</v>
          </cell>
          <cell r="T75">
            <v>14341.053</v>
          </cell>
          <cell r="U75">
            <v>3012</v>
          </cell>
          <cell r="V75">
            <v>17686.365000000002</v>
          </cell>
          <cell r="W75">
            <v>3031</v>
          </cell>
          <cell r="X75">
            <v>17208.263999999999</v>
          </cell>
          <cell r="Y75">
            <v>4768</v>
          </cell>
          <cell r="Z75">
            <v>27176.852999999999</v>
          </cell>
          <cell r="AA75">
            <v>6128</v>
          </cell>
          <cell r="AB75">
            <v>35283.807000000001</v>
          </cell>
          <cell r="AC75" t="e">
            <v>#REF!</v>
          </cell>
        </row>
        <row r="76">
          <cell r="A76" t="str">
            <v>00840554</v>
          </cell>
          <cell r="B76" t="str">
            <v>동화상협(주)2공장</v>
          </cell>
          <cell r="C76">
            <v>186336</v>
          </cell>
          <cell r="D76">
            <v>530789.75</v>
          </cell>
          <cell r="E76">
            <v>14780</v>
          </cell>
          <cell r="F76">
            <v>44127.305999999997</v>
          </cell>
          <cell r="G76">
            <v>13893</v>
          </cell>
          <cell r="H76">
            <v>39850.767000000007</v>
          </cell>
          <cell r="I76">
            <v>15316</v>
          </cell>
          <cell r="J76">
            <v>44228.77</v>
          </cell>
          <cell r="K76">
            <v>13914</v>
          </cell>
          <cell r="L76">
            <v>42975.557999999997</v>
          </cell>
          <cell r="M76">
            <v>14026</v>
          </cell>
          <cell r="N76">
            <v>41193.769</v>
          </cell>
          <cell r="O76">
            <v>18584</v>
          </cell>
          <cell r="P76">
            <v>49811.762000000002</v>
          </cell>
          <cell r="Q76">
            <v>14887</v>
          </cell>
          <cell r="R76">
            <v>40518.226999999999</v>
          </cell>
          <cell r="S76">
            <v>16079</v>
          </cell>
          <cell r="T76">
            <v>44124.359000000004</v>
          </cell>
          <cell r="U76">
            <v>14991</v>
          </cell>
          <cell r="V76">
            <v>42296.94</v>
          </cell>
          <cell r="W76">
            <v>17404</v>
          </cell>
          <cell r="X76">
            <v>49621.973999999995</v>
          </cell>
          <cell r="Y76">
            <v>15578</v>
          </cell>
          <cell r="Z76">
            <v>44368.093000000001</v>
          </cell>
          <cell r="AA76">
            <v>16884</v>
          </cell>
          <cell r="AB76">
            <v>47672.224999999999</v>
          </cell>
          <cell r="AC76" t="e">
            <v>#REF!</v>
          </cell>
        </row>
        <row r="77">
          <cell r="A77" t="str">
            <v>00840573</v>
          </cell>
          <cell r="B77" t="str">
            <v>동화상협(주)2공장</v>
          </cell>
          <cell r="C77">
            <v>88694</v>
          </cell>
          <cell r="D77">
            <v>377571.71299999999</v>
          </cell>
          <cell r="E77">
            <v>5495</v>
          </cell>
          <cell r="F77">
            <v>23085.460999999999</v>
          </cell>
          <cell r="G77">
            <v>3739</v>
          </cell>
          <cell r="H77">
            <v>16087.505999999999</v>
          </cell>
          <cell r="I77">
            <v>4134</v>
          </cell>
          <cell r="J77">
            <v>17590.951000000001</v>
          </cell>
          <cell r="K77">
            <v>7211</v>
          </cell>
          <cell r="L77">
            <v>30775.749</v>
          </cell>
          <cell r="M77">
            <v>8037</v>
          </cell>
          <cell r="N77">
            <v>34850.033000000003</v>
          </cell>
          <cell r="O77">
            <v>8748</v>
          </cell>
          <cell r="P77">
            <v>36792.938999999998</v>
          </cell>
          <cell r="Q77">
            <v>8992</v>
          </cell>
          <cell r="R77">
            <v>39215.665999999997</v>
          </cell>
          <cell r="S77">
            <v>8445</v>
          </cell>
          <cell r="T77">
            <v>34985.425999999999</v>
          </cell>
          <cell r="U77">
            <v>5506</v>
          </cell>
          <cell r="V77">
            <v>24048.788</v>
          </cell>
          <cell r="W77">
            <v>9624</v>
          </cell>
          <cell r="X77">
            <v>40480.786</v>
          </cell>
          <cell r="Y77">
            <v>9169</v>
          </cell>
          <cell r="Z77">
            <v>38727.391000000003</v>
          </cell>
          <cell r="AA77">
            <v>9593</v>
          </cell>
          <cell r="AB77">
            <v>40931.017</v>
          </cell>
          <cell r="AC77" t="e">
            <v>#REF!</v>
          </cell>
        </row>
        <row r="78">
          <cell r="A78" t="str">
            <v>50416954</v>
          </cell>
          <cell r="B78" t="str">
            <v>동화상협(주)5공장</v>
          </cell>
          <cell r="C78">
            <v>173982</v>
          </cell>
          <cell r="D78">
            <v>454398.27300000004</v>
          </cell>
          <cell r="E78">
            <v>18347</v>
          </cell>
          <cell r="F78">
            <v>44857.485000000001</v>
          </cell>
          <cell r="G78">
            <v>14535</v>
          </cell>
          <cell r="H78">
            <v>36646.78</v>
          </cell>
          <cell r="I78">
            <v>12625</v>
          </cell>
          <cell r="J78">
            <v>35128.862000000001</v>
          </cell>
          <cell r="K78">
            <v>12924</v>
          </cell>
          <cell r="L78">
            <v>36418.296999999999</v>
          </cell>
          <cell r="M78">
            <v>12125</v>
          </cell>
          <cell r="N78">
            <v>33514.36</v>
          </cell>
          <cell r="O78">
            <v>13088</v>
          </cell>
          <cell r="P78">
            <v>35893.898000000001</v>
          </cell>
          <cell r="Q78">
            <v>12150</v>
          </cell>
          <cell r="R78">
            <v>31984.007000000001</v>
          </cell>
          <cell r="S78">
            <v>11416</v>
          </cell>
          <cell r="T78">
            <v>32242.469000000001</v>
          </cell>
          <cell r="U78">
            <v>13068</v>
          </cell>
          <cell r="V78">
            <v>34779.777000000002</v>
          </cell>
          <cell r="W78">
            <v>17424</v>
          </cell>
          <cell r="X78">
            <v>44426.056000000004</v>
          </cell>
          <cell r="Y78">
            <v>17852</v>
          </cell>
          <cell r="Z78">
            <v>43251.260999999999</v>
          </cell>
          <cell r="AA78">
            <v>18429</v>
          </cell>
          <cell r="AB78">
            <v>45255.021000000001</v>
          </cell>
          <cell r="AC78" t="e">
            <v>#REF!</v>
          </cell>
        </row>
        <row r="79">
          <cell r="A79" t="str">
            <v>50416973</v>
          </cell>
          <cell r="B79" t="str">
            <v>동화상협(주)5공장</v>
          </cell>
          <cell r="C79">
            <v>22579</v>
          </cell>
          <cell r="D79">
            <v>96375.328999999998</v>
          </cell>
          <cell r="E79">
            <v>549</v>
          </cell>
          <cell r="F79">
            <v>2308.5459999999998</v>
          </cell>
          <cell r="G79">
            <v>1901</v>
          </cell>
          <cell r="H79">
            <v>8181.6459999999997</v>
          </cell>
          <cell r="I79">
            <v>3370</v>
          </cell>
          <cell r="J79">
            <v>14336.624</v>
          </cell>
          <cell r="K79">
            <v>3431</v>
          </cell>
          <cell r="L79">
            <v>14643.299000000001</v>
          </cell>
          <cell r="M79">
            <v>2891</v>
          </cell>
          <cell r="N79">
            <v>12535.983</v>
          </cell>
          <cell r="O79">
            <v>3227</v>
          </cell>
          <cell r="P79">
            <v>13573.869000000001</v>
          </cell>
          <cell r="Q79">
            <v>1559</v>
          </cell>
          <cell r="R79">
            <v>6797.3819999999996</v>
          </cell>
          <cell r="S79">
            <v>1056</v>
          </cell>
          <cell r="T79">
            <v>4373.1779999999999</v>
          </cell>
          <cell r="U79">
            <v>1491</v>
          </cell>
          <cell r="V79">
            <v>6487.982</v>
          </cell>
          <cell r="W79">
            <v>1069</v>
          </cell>
          <cell r="X79">
            <v>4497.8649999999998</v>
          </cell>
          <cell r="Y79">
            <v>1019</v>
          </cell>
          <cell r="Z79">
            <v>4303.0429999999997</v>
          </cell>
          <cell r="AA79">
            <v>1016</v>
          </cell>
          <cell r="AB79">
            <v>4335.9120000000003</v>
          </cell>
          <cell r="AC79" t="e">
            <v>#REF!</v>
          </cell>
        </row>
        <row r="80">
          <cell r="A80" t="str">
            <v>00842973</v>
          </cell>
          <cell r="B80" t="str">
            <v>두승상사</v>
          </cell>
          <cell r="C80">
            <v>652</v>
          </cell>
          <cell r="D80">
            <v>4605.2129999999997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160</v>
          </cell>
          <cell r="R80">
            <v>988.85299999999995</v>
          </cell>
          <cell r="S80">
            <v>211</v>
          </cell>
          <cell r="T80">
            <v>1466.7139999999999</v>
          </cell>
          <cell r="U80">
            <v>100</v>
          </cell>
          <cell r="V80">
            <v>752.52299999999991</v>
          </cell>
          <cell r="W80">
            <v>64</v>
          </cell>
          <cell r="X80">
            <v>366.81599999999997</v>
          </cell>
          <cell r="Y80">
            <v>41</v>
          </cell>
          <cell r="Z80">
            <v>254.84100000000001</v>
          </cell>
          <cell r="AA80">
            <v>76</v>
          </cell>
          <cell r="AB80">
            <v>775.46600000000001</v>
          </cell>
          <cell r="AC80" t="e">
            <v>#REF!</v>
          </cell>
        </row>
        <row r="81">
          <cell r="A81" t="str">
            <v>14252547</v>
          </cell>
          <cell r="B81" t="str">
            <v>매화상사</v>
          </cell>
          <cell r="C81">
            <v>33255</v>
          </cell>
          <cell r="D81">
            <v>119235.899</v>
          </cell>
          <cell r="E81">
            <v>1439</v>
          </cell>
          <cell r="F81">
            <v>5198.2580000000016</v>
          </cell>
          <cell r="G81">
            <v>760</v>
          </cell>
          <cell r="H81">
            <v>2642.402</v>
          </cell>
          <cell r="I81">
            <v>3375</v>
          </cell>
          <cell r="J81">
            <v>11318.256000000001</v>
          </cell>
          <cell r="K81">
            <v>2733</v>
          </cell>
          <cell r="L81">
            <v>11590.924999999999</v>
          </cell>
          <cell r="M81">
            <v>3120</v>
          </cell>
          <cell r="N81">
            <v>11870.948</v>
          </cell>
          <cell r="O81">
            <v>4621</v>
          </cell>
          <cell r="P81">
            <v>15071.094999999999</v>
          </cell>
          <cell r="Q81">
            <v>2953</v>
          </cell>
          <cell r="R81">
            <v>12524.021000000001</v>
          </cell>
          <cell r="S81">
            <v>4466</v>
          </cell>
          <cell r="T81">
            <v>14482.047999999999</v>
          </cell>
          <cell r="U81">
            <v>2313</v>
          </cell>
          <cell r="V81">
            <v>7566.2519999999995</v>
          </cell>
          <cell r="W81">
            <v>2921</v>
          </cell>
          <cell r="X81">
            <v>9832.6810000000005</v>
          </cell>
          <cell r="Y81">
            <v>2845</v>
          </cell>
          <cell r="Z81">
            <v>10881.593999999997</v>
          </cell>
          <cell r="AA81">
            <v>1706</v>
          </cell>
          <cell r="AB81">
            <v>6257.418999999999</v>
          </cell>
          <cell r="AC81" t="e">
            <v>#REF!</v>
          </cell>
        </row>
        <row r="82">
          <cell r="A82" t="str">
            <v>50294673</v>
          </cell>
          <cell r="B82" t="str">
            <v>명진분체산업</v>
          </cell>
          <cell r="C82">
            <v>22</v>
          </cell>
          <cell r="D82">
            <v>174.822</v>
          </cell>
          <cell r="E82">
            <v>22</v>
          </cell>
          <cell r="F82">
            <v>174.822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 t="e">
            <v>#REF!</v>
          </cell>
        </row>
        <row r="83">
          <cell r="A83" t="str">
            <v>00844447</v>
          </cell>
          <cell r="B83" t="str">
            <v>무지개도장연구소</v>
          </cell>
          <cell r="C83">
            <v>39147</v>
          </cell>
          <cell r="D83">
            <v>129362.96200000003</v>
          </cell>
          <cell r="E83">
            <v>1525</v>
          </cell>
          <cell r="F83">
            <v>5743.2970000000005</v>
          </cell>
          <cell r="G83">
            <v>2049</v>
          </cell>
          <cell r="H83">
            <v>7204.5560000000023</v>
          </cell>
          <cell r="I83">
            <v>3579</v>
          </cell>
          <cell r="J83">
            <v>12231.541000000001</v>
          </cell>
          <cell r="K83">
            <v>5219</v>
          </cell>
          <cell r="L83">
            <v>15573.206</v>
          </cell>
          <cell r="M83">
            <v>3275</v>
          </cell>
          <cell r="N83">
            <v>10336.978000000001</v>
          </cell>
          <cell r="O83">
            <v>2721</v>
          </cell>
          <cell r="P83">
            <v>9927.4470000000019</v>
          </cell>
          <cell r="Q83">
            <v>3559</v>
          </cell>
          <cell r="R83">
            <v>11036.241</v>
          </cell>
          <cell r="S83">
            <v>3884</v>
          </cell>
          <cell r="T83">
            <v>13100.386999999999</v>
          </cell>
          <cell r="U83">
            <v>3656</v>
          </cell>
          <cell r="V83">
            <v>11711.583000000002</v>
          </cell>
          <cell r="W83">
            <v>4485</v>
          </cell>
          <cell r="X83">
            <v>12355.043000000001</v>
          </cell>
          <cell r="Y83">
            <v>3379</v>
          </cell>
          <cell r="Z83">
            <v>12173.975999999999</v>
          </cell>
          <cell r="AA83">
            <v>1815</v>
          </cell>
          <cell r="AB83">
            <v>7968.7069999999994</v>
          </cell>
          <cell r="AC83" t="e">
            <v>#REF!</v>
          </cell>
        </row>
        <row r="84">
          <cell r="A84" t="str">
            <v>18587478</v>
          </cell>
          <cell r="B84" t="str">
            <v>무지개파우플라텍</v>
          </cell>
          <cell r="C84">
            <v>34743</v>
          </cell>
          <cell r="D84">
            <v>169582.44899999996</v>
          </cell>
          <cell r="E84">
            <v>2759</v>
          </cell>
          <cell r="F84">
            <v>13593.37</v>
          </cell>
          <cell r="G84">
            <v>3277</v>
          </cell>
          <cell r="H84">
            <v>16240.704999999998</v>
          </cell>
          <cell r="I84">
            <v>4073</v>
          </cell>
          <cell r="J84">
            <v>18617.203000000001</v>
          </cell>
          <cell r="K84">
            <v>1288</v>
          </cell>
          <cell r="L84">
            <v>7148.4390000000012</v>
          </cell>
          <cell r="M84">
            <v>2417</v>
          </cell>
          <cell r="N84">
            <v>12710.965000000002</v>
          </cell>
          <cell r="O84">
            <v>2540</v>
          </cell>
          <cell r="P84">
            <v>12478.132</v>
          </cell>
          <cell r="Q84">
            <v>3811</v>
          </cell>
          <cell r="R84">
            <v>19935.52</v>
          </cell>
          <cell r="S84">
            <v>902</v>
          </cell>
          <cell r="T84">
            <v>4039.7740000000003</v>
          </cell>
          <cell r="U84">
            <v>3996</v>
          </cell>
          <cell r="V84">
            <v>18433.407999999999</v>
          </cell>
          <cell r="W84">
            <v>2096</v>
          </cell>
          <cell r="X84">
            <v>11318.822</v>
          </cell>
          <cell r="Y84">
            <v>3036</v>
          </cell>
          <cell r="Z84">
            <v>14251.919000000002</v>
          </cell>
          <cell r="AA84">
            <v>4547</v>
          </cell>
          <cell r="AB84">
            <v>20814.191999999999</v>
          </cell>
          <cell r="AC84" t="e">
            <v>#REF!</v>
          </cell>
        </row>
        <row r="85">
          <cell r="A85" t="str">
            <v>29839447</v>
          </cell>
          <cell r="B85" t="str">
            <v>미래케미칼</v>
          </cell>
          <cell r="C85">
            <v>38975</v>
          </cell>
          <cell r="D85">
            <v>118185.539</v>
          </cell>
          <cell r="E85">
            <v>1336</v>
          </cell>
          <cell r="F85">
            <v>3499.47</v>
          </cell>
          <cell r="G85">
            <v>3587</v>
          </cell>
          <cell r="H85">
            <v>9918.57</v>
          </cell>
          <cell r="I85">
            <v>4484</v>
          </cell>
          <cell r="J85">
            <v>12189.745000000003</v>
          </cell>
          <cell r="K85">
            <v>1185</v>
          </cell>
          <cell r="L85">
            <v>4542.1320000000005</v>
          </cell>
          <cell r="M85">
            <v>5347</v>
          </cell>
          <cell r="N85">
            <v>15260.826999999997</v>
          </cell>
          <cell r="O85">
            <v>922</v>
          </cell>
          <cell r="P85">
            <v>3539.8579999999993</v>
          </cell>
          <cell r="Q85">
            <v>3612</v>
          </cell>
          <cell r="R85">
            <v>11152.323</v>
          </cell>
          <cell r="S85">
            <v>2166</v>
          </cell>
          <cell r="T85">
            <v>6910.2660000000005</v>
          </cell>
          <cell r="U85">
            <v>3728</v>
          </cell>
          <cell r="V85">
            <v>12828.784000000001</v>
          </cell>
          <cell r="W85">
            <v>2224</v>
          </cell>
          <cell r="X85">
            <v>6717.7749999999996</v>
          </cell>
          <cell r="Y85">
            <v>5498</v>
          </cell>
          <cell r="Z85">
            <v>17614.96</v>
          </cell>
          <cell r="AA85">
            <v>4887</v>
          </cell>
          <cell r="AB85">
            <v>14010.828999999998</v>
          </cell>
          <cell r="AC85" t="e">
            <v>#REF!</v>
          </cell>
        </row>
        <row r="86">
          <cell r="A86" t="str">
            <v>34085478</v>
          </cell>
          <cell r="B86" t="str">
            <v>부성산업</v>
          </cell>
          <cell r="C86">
            <v>4929</v>
          </cell>
          <cell r="D86">
            <v>27471.360000000001</v>
          </cell>
          <cell r="E86">
            <v>110</v>
          </cell>
          <cell r="F86">
            <v>608.23399999999992</v>
          </cell>
          <cell r="G86">
            <v>812</v>
          </cell>
          <cell r="H86">
            <v>4693.8879999999999</v>
          </cell>
          <cell r="I86">
            <v>371</v>
          </cell>
          <cell r="J86">
            <v>2162.8249999999998</v>
          </cell>
          <cell r="K86">
            <v>233</v>
          </cell>
          <cell r="L86">
            <v>1345.7520000000002</v>
          </cell>
          <cell r="M86">
            <v>521</v>
          </cell>
          <cell r="N86">
            <v>2839.748</v>
          </cell>
          <cell r="O86">
            <v>386</v>
          </cell>
          <cell r="P86">
            <v>2091.6490000000003</v>
          </cell>
          <cell r="Q86">
            <v>680</v>
          </cell>
          <cell r="R86">
            <v>3833.1459999999997</v>
          </cell>
          <cell r="S86">
            <v>338</v>
          </cell>
          <cell r="T86">
            <v>1878.1809999999998</v>
          </cell>
          <cell r="U86">
            <v>239</v>
          </cell>
          <cell r="V86">
            <v>1204.249</v>
          </cell>
          <cell r="W86">
            <v>364</v>
          </cell>
          <cell r="X86">
            <v>1982.5890000000002</v>
          </cell>
          <cell r="Y86">
            <v>448</v>
          </cell>
          <cell r="Z86">
            <v>2551.3940000000002</v>
          </cell>
          <cell r="AA86">
            <v>427</v>
          </cell>
          <cell r="AB86">
            <v>2279.7049999999999</v>
          </cell>
          <cell r="AC86" t="e">
            <v>#REF!</v>
          </cell>
        </row>
        <row r="87">
          <cell r="A87" t="str">
            <v>00858712</v>
          </cell>
          <cell r="B87" t="str">
            <v>삼광조선공업(주)</v>
          </cell>
          <cell r="C87">
            <v>53287</v>
          </cell>
          <cell r="D87">
            <v>240558.655</v>
          </cell>
          <cell r="E87">
            <v>3589</v>
          </cell>
          <cell r="F87">
            <v>17747.999</v>
          </cell>
          <cell r="G87">
            <v>2924</v>
          </cell>
          <cell r="H87">
            <v>15688.287</v>
          </cell>
          <cell r="I87">
            <v>1070</v>
          </cell>
          <cell r="J87">
            <v>2723.4369999999999</v>
          </cell>
          <cell r="K87">
            <v>2107</v>
          </cell>
          <cell r="L87">
            <v>10613.869000000001</v>
          </cell>
          <cell r="M87">
            <v>3980</v>
          </cell>
          <cell r="N87">
            <v>20288.899000000001</v>
          </cell>
          <cell r="O87">
            <v>4106</v>
          </cell>
          <cell r="P87">
            <v>15585.636</v>
          </cell>
          <cell r="Q87">
            <v>3554</v>
          </cell>
          <cell r="R87">
            <v>17268.358</v>
          </cell>
          <cell r="S87">
            <v>5349</v>
          </cell>
          <cell r="T87">
            <v>25073.837</v>
          </cell>
          <cell r="U87">
            <v>10159</v>
          </cell>
          <cell r="V87">
            <v>45424.561999999998</v>
          </cell>
          <cell r="W87">
            <v>8808</v>
          </cell>
          <cell r="X87">
            <v>35769.116999999998</v>
          </cell>
          <cell r="Y87">
            <v>5856</v>
          </cell>
          <cell r="Z87">
            <v>27155.743000000002</v>
          </cell>
          <cell r="AA87">
            <v>1784</v>
          </cell>
          <cell r="AB87">
            <v>7218.911000000001</v>
          </cell>
          <cell r="AC87" t="e">
            <v>#REF!</v>
          </cell>
        </row>
        <row r="88">
          <cell r="A88" t="str">
            <v>00862854</v>
          </cell>
          <cell r="B88" t="str">
            <v>삼우공업</v>
          </cell>
          <cell r="C88">
            <v>6174</v>
          </cell>
          <cell r="D88">
            <v>16285.631000000001</v>
          </cell>
          <cell r="E88">
            <v>367</v>
          </cell>
          <cell r="F88">
            <v>977.23500000000001</v>
          </cell>
          <cell r="G88">
            <v>0</v>
          </cell>
          <cell r="H88">
            <v>0</v>
          </cell>
          <cell r="I88">
            <v>322</v>
          </cell>
          <cell r="J88">
            <v>934.19200000000001</v>
          </cell>
          <cell r="K88">
            <v>370</v>
          </cell>
          <cell r="L88">
            <v>1011.279</v>
          </cell>
          <cell r="M88">
            <v>0</v>
          </cell>
          <cell r="N88">
            <v>0</v>
          </cell>
          <cell r="O88">
            <v>748</v>
          </cell>
          <cell r="P88">
            <v>2094.67</v>
          </cell>
          <cell r="Q88">
            <v>0</v>
          </cell>
          <cell r="R88">
            <v>0</v>
          </cell>
          <cell r="S88">
            <v>1311</v>
          </cell>
          <cell r="T88">
            <v>3370.4670000000001</v>
          </cell>
          <cell r="U88">
            <v>1488</v>
          </cell>
          <cell r="V88">
            <v>3723.6579999999999</v>
          </cell>
          <cell r="W88">
            <v>745</v>
          </cell>
          <cell r="X88">
            <v>1843.163</v>
          </cell>
          <cell r="Y88">
            <v>473</v>
          </cell>
          <cell r="Z88">
            <v>1322.9059999999999</v>
          </cell>
          <cell r="AA88">
            <v>351</v>
          </cell>
          <cell r="AB88">
            <v>1008.061</v>
          </cell>
          <cell r="AC88" t="e">
            <v>#REF!</v>
          </cell>
        </row>
        <row r="89">
          <cell r="A89" t="str">
            <v>31561447</v>
          </cell>
          <cell r="B89" t="str">
            <v>삼은케미컬(주)</v>
          </cell>
          <cell r="C89">
            <v>133</v>
          </cell>
          <cell r="D89">
            <v>417.2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133</v>
          </cell>
          <cell r="P89">
            <v>417.2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 t="e">
            <v>#REF!</v>
          </cell>
        </row>
        <row r="90">
          <cell r="A90" t="str">
            <v>00865554</v>
          </cell>
          <cell r="B90" t="str">
            <v>삼정기업주식회사</v>
          </cell>
          <cell r="C90">
            <v>104022</v>
          </cell>
          <cell r="D90">
            <v>423997.08199999999</v>
          </cell>
          <cell r="E90">
            <v>9194</v>
          </cell>
          <cell r="F90">
            <v>36961.544999999998</v>
          </cell>
          <cell r="G90">
            <v>7899</v>
          </cell>
          <cell r="H90">
            <v>32115.783000000003</v>
          </cell>
          <cell r="I90">
            <v>8783</v>
          </cell>
          <cell r="J90">
            <v>35914.53</v>
          </cell>
          <cell r="K90">
            <v>9216</v>
          </cell>
          <cell r="L90">
            <v>37481.724999999999</v>
          </cell>
          <cell r="M90">
            <v>8341</v>
          </cell>
          <cell r="N90">
            <v>34070.974999999999</v>
          </cell>
          <cell r="O90">
            <v>8783</v>
          </cell>
          <cell r="P90">
            <v>35949.94</v>
          </cell>
          <cell r="Q90">
            <v>7470</v>
          </cell>
          <cell r="R90">
            <v>30636.607000000004</v>
          </cell>
          <cell r="S90">
            <v>8341</v>
          </cell>
          <cell r="T90">
            <v>34116.686000000002</v>
          </cell>
          <cell r="U90">
            <v>8348</v>
          </cell>
          <cell r="V90">
            <v>34139.445999999996</v>
          </cell>
          <cell r="W90">
            <v>9650</v>
          </cell>
          <cell r="X90">
            <v>39343.99</v>
          </cell>
          <cell r="Y90">
            <v>8796</v>
          </cell>
          <cell r="Z90">
            <v>36147.906999999999</v>
          </cell>
          <cell r="AA90">
            <v>9202</v>
          </cell>
          <cell r="AB90">
            <v>37117.947999999997</v>
          </cell>
          <cell r="AC90" t="e">
            <v>#REF!</v>
          </cell>
        </row>
        <row r="91">
          <cell r="A91" t="str">
            <v>57290847</v>
          </cell>
          <cell r="B91" t="str">
            <v>삼화페인트 대영상사</v>
          </cell>
          <cell r="C91">
            <v>2130</v>
          </cell>
          <cell r="D91">
            <v>4249.2380000000003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990</v>
          </cell>
          <cell r="N91">
            <v>1444.6559999999999</v>
          </cell>
          <cell r="O91">
            <v>1140</v>
          </cell>
          <cell r="P91">
            <v>2804.5819999999999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 t="e">
            <v>#REF!</v>
          </cell>
        </row>
        <row r="92">
          <cell r="A92" t="str">
            <v>34536547</v>
          </cell>
          <cell r="B92" t="str">
            <v>상영사</v>
          </cell>
          <cell r="C92">
            <v>9854</v>
          </cell>
          <cell r="D92">
            <v>22406.988999999998</v>
          </cell>
          <cell r="E92">
            <v>2</v>
          </cell>
          <cell r="F92">
            <v>9.1709999999999994</v>
          </cell>
          <cell r="G92">
            <v>23</v>
          </cell>
          <cell r="H92">
            <v>144.70699999999999</v>
          </cell>
          <cell r="I92">
            <v>1178</v>
          </cell>
          <cell r="J92">
            <v>2084.37</v>
          </cell>
          <cell r="K92">
            <v>2035</v>
          </cell>
          <cell r="L92">
            <v>3551.9839999999995</v>
          </cell>
          <cell r="M92">
            <v>917</v>
          </cell>
          <cell r="N92">
            <v>2985.8210000000004</v>
          </cell>
          <cell r="O92">
            <v>839</v>
          </cell>
          <cell r="P92">
            <v>2870.0189999999993</v>
          </cell>
          <cell r="Q92">
            <v>1379</v>
          </cell>
          <cell r="R92">
            <v>2457.6869999999999</v>
          </cell>
          <cell r="S92">
            <v>747</v>
          </cell>
          <cell r="T92">
            <v>2486.1350000000002</v>
          </cell>
          <cell r="U92">
            <v>365</v>
          </cell>
          <cell r="V92">
            <v>1284.078</v>
          </cell>
          <cell r="W92">
            <v>1651</v>
          </cell>
          <cell r="X92">
            <v>3108.52</v>
          </cell>
          <cell r="Y92">
            <v>263</v>
          </cell>
          <cell r="Z92">
            <v>776.24400000000003</v>
          </cell>
          <cell r="AA92">
            <v>454</v>
          </cell>
          <cell r="AB92">
            <v>648.25300000000004</v>
          </cell>
          <cell r="AC92" t="e">
            <v>#REF!</v>
          </cell>
        </row>
        <row r="93">
          <cell r="A93" t="str">
            <v>31221977</v>
          </cell>
          <cell r="B93" t="str">
            <v>새론상사</v>
          </cell>
          <cell r="C93">
            <v>809</v>
          </cell>
          <cell r="D93">
            <v>4432.4260000000004</v>
          </cell>
          <cell r="E93">
            <v>66</v>
          </cell>
          <cell r="F93">
            <v>355.79700000000003</v>
          </cell>
          <cell r="G93">
            <v>107</v>
          </cell>
          <cell r="H93">
            <v>590.34</v>
          </cell>
          <cell r="I93">
            <v>0</v>
          </cell>
          <cell r="J93">
            <v>0</v>
          </cell>
          <cell r="K93">
            <v>58</v>
          </cell>
          <cell r="L93">
            <v>318.76400000000001</v>
          </cell>
          <cell r="M93">
            <v>96</v>
          </cell>
          <cell r="N93">
            <v>536.68399999999997</v>
          </cell>
          <cell r="O93">
            <v>111</v>
          </cell>
          <cell r="P93">
            <v>603.51099999999997</v>
          </cell>
          <cell r="Q93">
            <v>60</v>
          </cell>
          <cell r="R93">
            <v>335.77699999999999</v>
          </cell>
          <cell r="S93">
            <v>63</v>
          </cell>
          <cell r="T93">
            <v>337</v>
          </cell>
          <cell r="U93">
            <v>40</v>
          </cell>
          <cell r="V93">
            <v>222.208</v>
          </cell>
          <cell r="W93">
            <v>86</v>
          </cell>
          <cell r="X93">
            <v>466.62</v>
          </cell>
          <cell r="Y93">
            <v>61</v>
          </cell>
          <cell r="Z93">
            <v>331.596</v>
          </cell>
          <cell r="AA93">
            <v>61</v>
          </cell>
          <cell r="AB93">
            <v>334.12900000000002</v>
          </cell>
          <cell r="AC93" t="e">
            <v>#REF!</v>
          </cell>
        </row>
        <row r="94">
          <cell r="A94" t="str">
            <v>36961547</v>
          </cell>
          <cell r="B94" t="str">
            <v>서원상사</v>
          </cell>
          <cell r="C94">
            <v>58076</v>
          </cell>
          <cell r="D94">
            <v>224106.70799999996</v>
          </cell>
          <cell r="E94">
            <v>2807</v>
          </cell>
          <cell r="F94">
            <v>10245.734</v>
          </cell>
          <cell r="G94">
            <v>4437</v>
          </cell>
          <cell r="H94">
            <v>16130.651000000002</v>
          </cell>
          <cell r="I94">
            <v>10726</v>
          </cell>
          <cell r="J94">
            <v>40352.428999999996</v>
          </cell>
          <cell r="K94">
            <v>5457</v>
          </cell>
          <cell r="L94">
            <v>17581.080000000002</v>
          </cell>
          <cell r="M94">
            <v>3551</v>
          </cell>
          <cell r="N94">
            <v>12723.718000000001</v>
          </cell>
          <cell r="O94">
            <v>2215</v>
          </cell>
          <cell r="P94">
            <v>10981.934000000003</v>
          </cell>
          <cell r="Q94">
            <v>2867</v>
          </cell>
          <cell r="R94">
            <v>11511.300999999998</v>
          </cell>
          <cell r="S94">
            <v>5985</v>
          </cell>
          <cell r="T94">
            <v>23148.302999999996</v>
          </cell>
          <cell r="U94">
            <v>7352</v>
          </cell>
          <cell r="V94">
            <v>28663.166999999998</v>
          </cell>
          <cell r="W94">
            <v>4857</v>
          </cell>
          <cell r="X94">
            <v>20384.512999999995</v>
          </cell>
          <cell r="Y94">
            <v>3506</v>
          </cell>
          <cell r="Z94">
            <v>12749.946999999998</v>
          </cell>
          <cell r="AA94">
            <v>4318</v>
          </cell>
          <cell r="AB94">
            <v>19633.931000000004</v>
          </cell>
          <cell r="AC94" t="e">
            <v>#REF!</v>
          </cell>
        </row>
        <row r="95">
          <cell r="A95" t="str">
            <v>37748254</v>
          </cell>
          <cell r="B95" t="str">
            <v>선경케미칼(주)</v>
          </cell>
          <cell r="C95">
            <v>445</v>
          </cell>
          <cell r="D95">
            <v>5565.7569999999996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135</v>
          </cell>
          <cell r="R95">
            <v>1675.6010000000001</v>
          </cell>
          <cell r="S95">
            <v>0</v>
          </cell>
          <cell r="T95">
            <v>0</v>
          </cell>
          <cell r="U95">
            <v>81</v>
          </cell>
          <cell r="V95">
            <v>1022.662</v>
          </cell>
          <cell r="W95">
            <v>0</v>
          </cell>
          <cell r="X95">
            <v>0</v>
          </cell>
          <cell r="Y95">
            <v>206</v>
          </cell>
          <cell r="Z95">
            <v>2605.319</v>
          </cell>
          <cell r="AA95">
            <v>23</v>
          </cell>
          <cell r="AB95">
            <v>262.17500000000001</v>
          </cell>
          <cell r="AC95" t="e">
            <v>#REF!</v>
          </cell>
        </row>
        <row r="96">
          <cell r="A96" t="str">
            <v>38999573</v>
          </cell>
          <cell r="B96" t="str">
            <v>선일조명</v>
          </cell>
          <cell r="C96">
            <v>22209</v>
          </cell>
          <cell r="D96">
            <v>87737.071000000011</v>
          </cell>
          <cell r="E96">
            <v>1099</v>
          </cell>
          <cell r="F96">
            <v>4247.84</v>
          </cell>
          <cell r="G96">
            <v>150</v>
          </cell>
          <cell r="H96">
            <v>1095.3340000000001</v>
          </cell>
          <cell r="I96">
            <v>2097</v>
          </cell>
          <cell r="J96">
            <v>8209.3919999999998</v>
          </cell>
          <cell r="K96">
            <v>2113</v>
          </cell>
          <cell r="L96">
            <v>8337.9959999999992</v>
          </cell>
          <cell r="M96">
            <v>2043</v>
          </cell>
          <cell r="N96">
            <v>8297.4889999999996</v>
          </cell>
          <cell r="O96">
            <v>2784</v>
          </cell>
          <cell r="P96">
            <v>10832.275</v>
          </cell>
          <cell r="Q96">
            <v>999</v>
          </cell>
          <cell r="R96">
            <v>4008.8209999999999</v>
          </cell>
          <cell r="S96">
            <v>2632</v>
          </cell>
          <cell r="T96">
            <v>10030.419</v>
          </cell>
          <cell r="U96">
            <v>994</v>
          </cell>
          <cell r="V96">
            <v>3979.404</v>
          </cell>
          <cell r="W96">
            <v>2160</v>
          </cell>
          <cell r="X96">
            <v>8413.3070000000007</v>
          </cell>
          <cell r="Y96">
            <v>1080</v>
          </cell>
          <cell r="Z96">
            <v>4352.1359999999995</v>
          </cell>
          <cell r="AA96">
            <v>4059</v>
          </cell>
          <cell r="AB96">
            <v>15932.657999999999</v>
          </cell>
          <cell r="AC96" t="e">
            <v>#REF!</v>
          </cell>
        </row>
        <row r="97">
          <cell r="A97" t="str">
            <v>56177845</v>
          </cell>
          <cell r="B97" t="str">
            <v>성덕건설주식회사</v>
          </cell>
          <cell r="C97">
            <v>2289</v>
          </cell>
          <cell r="D97">
            <v>8820.6740000000009</v>
          </cell>
          <cell r="E97">
            <v>259</v>
          </cell>
          <cell r="F97">
            <v>1101.567</v>
          </cell>
          <cell r="G97">
            <v>21</v>
          </cell>
          <cell r="H97">
            <v>125.279</v>
          </cell>
          <cell r="I97">
            <v>70</v>
          </cell>
          <cell r="J97">
            <v>389.815</v>
          </cell>
          <cell r="K97">
            <v>24</v>
          </cell>
          <cell r="L97">
            <v>147.15700000000001</v>
          </cell>
          <cell r="M97">
            <v>24</v>
          </cell>
          <cell r="N97">
            <v>145.04300000000001</v>
          </cell>
          <cell r="O97">
            <v>25</v>
          </cell>
          <cell r="P97">
            <v>159.09800000000001</v>
          </cell>
          <cell r="Q97">
            <v>379</v>
          </cell>
          <cell r="R97">
            <v>1255.327</v>
          </cell>
          <cell r="S97">
            <v>371</v>
          </cell>
          <cell r="T97">
            <v>1393.5970000000002</v>
          </cell>
          <cell r="U97">
            <v>355</v>
          </cell>
          <cell r="V97">
            <v>1336.857</v>
          </cell>
          <cell r="W97">
            <v>354</v>
          </cell>
          <cell r="X97">
            <v>1327.7860000000001</v>
          </cell>
          <cell r="Y97">
            <v>379</v>
          </cell>
          <cell r="Z97">
            <v>1319.2339999999999</v>
          </cell>
          <cell r="AA97">
            <v>21</v>
          </cell>
          <cell r="AB97">
            <v>119.914</v>
          </cell>
          <cell r="AC97" t="e">
            <v>#REF!</v>
          </cell>
        </row>
        <row r="98">
          <cell r="A98" t="str">
            <v>44928154</v>
          </cell>
          <cell r="B98" t="str">
            <v>성신테크</v>
          </cell>
          <cell r="C98">
            <v>12896</v>
          </cell>
          <cell r="D98">
            <v>37914.243999999999</v>
          </cell>
          <cell r="E98">
            <v>1129</v>
          </cell>
          <cell r="F98">
            <v>3296.2959999999998</v>
          </cell>
          <cell r="G98">
            <v>967</v>
          </cell>
          <cell r="H98">
            <v>2825.3970000000004</v>
          </cell>
          <cell r="I98">
            <v>1074</v>
          </cell>
          <cell r="J98">
            <v>3139.3290000000002</v>
          </cell>
          <cell r="K98">
            <v>1129</v>
          </cell>
          <cell r="L98">
            <v>3296.2959999999998</v>
          </cell>
          <cell r="M98">
            <v>1020</v>
          </cell>
          <cell r="N98">
            <v>2982.364</v>
          </cell>
          <cell r="O98">
            <v>1074</v>
          </cell>
          <cell r="P98">
            <v>3139.3290000000002</v>
          </cell>
          <cell r="Q98">
            <v>1079</v>
          </cell>
          <cell r="R98">
            <v>3381.6179999999999</v>
          </cell>
          <cell r="S98">
            <v>1020</v>
          </cell>
          <cell r="T98">
            <v>2982.364</v>
          </cell>
          <cell r="U98">
            <v>1020</v>
          </cell>
          <cell r="V98">
            <v>2982.364</v>
          </cell>
          <cell r="W98">
            <v>1181</v>
          </cell>
          <cell r="X98">
            <v>3453.2620000000002</v>
          </cell>
          <cell r="Y98">
            <v>1074</v>
          </cell>
          <cell r="Z98">
            <v>3139.3290000000002</v>
          </cell>
          <cell r="AA98">
            <v>1129</v>
          </cell>
          <cell r="AB98">
            <v>3296.2959999999998</v>
          </cell>
          <cell r="AC98" t="e">
            <v>#REF!</v>
          </cell>
        </row>
        <row r="99">
          <cell r="A99" t="str">
            <v>51767545</v>
          </cell>
          <cell r="B99" t="str">
            <v>성일기업</v>
          </cell>
          <cell r="C99">
            <v>8347</v>
          </cell>
          <cell r="D99">
            <v>25634.563999999998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6386</v>
          </cell>
          <cell r="R99">
            <v>19004.145999999997</v>
          </cell>
          <cell r="S99">
            <v>184</v>
          </cell>
          <cell r="T99">
            <v>550.57600000000002</v>
          </cell>
          <cell r="U99">
            <v>1778</v>
          </cell>
          <cell r="V99">
            <v>6079.8419999999996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 t="e">
            <v>#REF!</v>
          </cell>
        </row>
        <row r="100">
          <cell r="A100" t="str">
            <v>35263947</v>
          </cell>
          <cell r="B100" t="str">
            <v>성일상사</v>
          </cell>
          <cell r="C100">
            <v>105585</v>
          </cell>
          <cell r="D100">
            <v>304854.20400000009</v>
          </cell>
          <cell r="E100">
            <v>1219</v>
          </cell>
          <cell r="F100">
            <v>5282.8110000000006</v>
          </cell>
          <cell r="G100">
            <v>6798</v>
          </cell>
          <cell r="H100">
            <v>24856.825999999997</v>
          </cell>
          <cell r="I100">
            <v>8887</v>
          </cell>
          <cell r="J100">
            <v>23690.491999999995</v>
          </cell>
          <cell r="K100">
            <v>9263</v>
          </cell>
          <cell r="L100">
            <v>26278.484000000004</v>
          </cell>
          <cell r="M100">
            <v>10108</v>
          </cell>
          <cell r="N100">
            <v>30223.012999999992</v>
          </cell>
          <cell r="O100">
            <v>11557</v>
          </cell>
          <cell r="P100">
            <v>32311.518</v>
          </cell>
          <cell r="Q100">
            <v>5464</v>
          </cell>
          <cell r="R100">
            <v>20135.596999999998</v>
          </cell>
          <cell r="S100">
            <v>11600</v>
          </cell>
          <cell r="T100">
            <v>27427.927999999993</v>
          </cell>
          <cell r="U100">
            <v>14507</v>
          </cell>
          <cell r="V100">
            <v>33535.626000000004</v>
          </cell>
          <cell r="W100">
            <v>10127</v>
          </cell>
          <cell r="X100">
            <v>32859.021000000008</v>
          </cell>
          <cell r="Y100">
            <v>11972</v>
          </cell>
          <cell r="Z100">
            <v>32526.143</v>
          </cell>
          <cell r="AA100">
            <v>4082</v>
          </cell>
          <cell r="AB100">
            <v>15726.745000000003</v>
          </cell>
          <cell r="AC100" t="e">
            <v>#REF!</v>
          </cell>
        </row>
        <row r="101">
          <cell r="A101" t="str">
            <v>49210547</v>
          </cell>
          <cell r="B101" t="str">
            <v>세영케미칼</v>
          </cell>
          <cell r="C101">
            <v>43526</v>
          </cell>
          <cell r="D101">
            <v>82081.253000000012</v>
          </cell>
          <cell r="E101">
            <v>2316</v>
          </cell>
          <cell r="F101">
            <v>2746.886</v>
          </cell>
          <cell r="G101">
            <v>1152</v>
          </cell>
          <cell r="H101">
            <v>1401.7080000000001</v>
          </cell>
          <cell r="I101">
            <v>426</v>
          </cell>
          <cell r="J101">
            <v>835.96</v>
          </cell>
          <cell r="K101">
            <v>4943</v>
          </cell>
          <cell r="L101">
            <v>9674.6560000000009</v>
          </cell>
          <cell r="M101">
            <v>5507</v>
          </cell>
          <cell r="N101">
            <v>9990.2839999999997</v>
          </cell>
          <cell r="O101">
            <v>7189</v>
          </cell>
          <cell r="P101">
            <v>15003.069000000001</v>
          </cell>
          <cell r="Q101">
            <v>3525</v>
          </cell>
          <cell r="R101">
            <v>10753.210999999999</v>
          </cell>
          <cell r="S101">
            <v>4907</v>
          </cell>
          <cell r="T101">
            <v>8856.373999999998</v>
          </cell>
          <cell r="U101">
            <v>4704</v>
          </cell>
          <cell r="V101">
            <v>7146.612000000001</v>
          </cell>
          <cell r="W101">
            <v>4749</v>
          </cell>
          <cell r="X101">
            <v>8432.9140000000007</v>
          </cell>
          <cell r="Y101">
            <v>3874</v>
          </cell>
          <cell r="Z101">
            <v>6679.3209999999999</v>
          </cell>
          <cell r="AA101">
            <v>238</v>
          </cell>
          <cell r="AB101">
            <v>560.25799999999992</v>
          </cell>
          <cell r="AC101" t="e">
            <v>#REF!</v>
          </cell>
        </row>
        <row r="102">
          <cell r="A102" t="str">
            <v>00878647</v>
          </cell>
          <cell r="B102" t="str">
            <v>세흥상사</v>
          </cell>
          <cell r="C102">
            <v>27845</v>
          </cell>
          <cell r="D102">
            <v>69216.36500000002</v>
          </cell>
          <cell r="E102">
            <v>17</v>
          </cell>
          <cell r="F102">
            <v>114.59699999999999</v>
          </cell>
          <cell r="G102">
            <v>1149</v>
          </cell>
          <cell r="H102">
            <v>2060.4770000000003</v>
          </cell>
          <cell r="I102">
            <v>3774</v>
          </cell>
          <cell r="J102">
            <v>7965.0529999999999</v>
          </cell>
          <cell r="K102">
            <v>2667</v>
          </cell>
          <cell r="L102">
            <v>7154.3929999999991</v>
          </cell>
          <cell r="M102">
            <v>2572</v>
          </cell>
          <cell r="N102">
            <v>6699.0890000000009</v>
          </cell>
          <cell r="O102">
            <v>2838</v>
          </cell>
          <cell r="P102">
            <v>7607.3509999999987</v>
          </cell>
          <cell r="Q102">
            <v>1464</v>
          </cell>
          <cell r="R102">
            <v>3154.8339999999998</v>
          </cell>
          <cell r="S102">
            <v>5136</v>
          </cell>
          <cell r="T102">
            <v>13547.356</v>
          </cell>
          <cell r="U102">
            <v>3199</v>
          </cell>
          <cell r="V102">
            <v>7437.6</v>
          </cell>
          <cell r="W102">
            <v>2608</v>
          </cell>
          <cell r="X102">
            <v>6568.76</v>
          </cell>
          <cell r="Y102">
            <v>1228</v>
          </cell>
          <cell r="Z102">
            <v>3993.5640000000003</v>
          </cell>
          <cell r="AA102">
            <v>1188</v>
          </cell>
          <cell r="AB102">
            <v>2913.2910000000002</v>
          </cell>
          <cell r="AC102" t="e">
            <v>#REF!</v>
          </cell>
        </row>
        <row r="103">
          <cell r="A103" t="str">
            <v>24715254</v>
          </cell>
          <cell r="B103" t="str">
            <v>승덕산업 주식회사</v>
          </cell>
          <cell r="C103">
            <v>78372</v>
          </cell>
          <cell r="D103">
            <v>377507.63299999997</v>
          </cell>
          <cell r="E103">
            <v>4036</v>
          </cell>
          <cell r="F103">
            <v>18651.465</v>
          </cell>
          <cell r="G103">
            <v>2641</v>
          </cell>
          <cell r="H103">
            <v>20775.145999999997</v>
          </cell>
          <cell r="I103">
            <v>6095</v>
          </cell>
          <cell r="J103">
            <v>27718.127</v>
          </cell>
          <cell r="K103">
            <v>6353</v>
          </cell>
          <cell r="L103">
            <v>33323.246999999996</v>
          </cell>
          <cell r="M103">
            <v>6468</v>
          </cell>
          <cell r="N103">
            <v>33622.690999999999</v>
          </cell>
          <cell r="O103">
            <v>2506</v>
          </cell>
          <cell r="P103">
            <v>22079.842000000001</v>
          </cell>
          <cell r="Q103">
            <v>5685</v>
          </cell>
          <cell r="R103">
            <v>19833.681</v>
          </cell>
          <cell r="S103">
            <v>6056</v>
          </cell>
          <cell r="T103">
            <v>34853.819000000003</v>
          </cell>
          <cell r="U103">
            <v>9061</v>
          </cell>
          <cell r="V103">
            <v>30939.075000000001</v>
          </cell>
          <cell r="W103">
            <v>11507</v>
          </cell>
          <cell r="X103">
            <v>48330.525999999998</v>
          </cell>
          <cell r="Y103">
            <v>9932</v>
          </cell>
          <cell r="Z103">
            <v>45825.464</v>
          </cell>
          <cell r="AA103">
            <v>8034</v>
          </cell>
          <cell r="AB103">
            <v>41554.550000000003</v>
          </cell>
          <cell r="AC103" t="e">
            <v>#REF!</v>
          </cell>
        </row>
        <row r="104">
          <cell r="A104" t="str">
            <v>01617747</v>
          </cell>
          <cell r="B104" t="str">
            <v>승수도장</v>
          </cell>
          <cell r="C104">
            <v>88700</v>
          </cell>
          <cell r="D104">
            <v>267563.68900000007</v>
          </cell>
          <cell r="E104">
            <v>6547</v>
          </cell>
          <cell r="F104">
            <v>19271.866999999995</v>
          </cell>
          <cell r="G104">
            <v>4745</v>
          </cell>
          <cell r="H104">
            <v>13389.121000000001</v>
          </cell>
          <cell r="I104">
            <v>6146</v>
          </cell>
          <cell r="J104">
            <v>18015.123000000007</v>
          </cell>
          <cell r="K104">
            <v>7927</v>
          </cell>
          <cell r="L104">
            <v>26556.702999999998</v>
          </cell>
          <cell r="M104">
            <v>6440</v>
          </cell>
          <cell r="N104">
            <v>19000.221999999998</v>
          </cell>
          <cell r="O104">
            <v>11299</v>
          </cell>
          <cell r="P104">
            <v>34715.593999999997</v>
          </cell>
          <cell r="Q104">
            <v>3700</v>
          </cell>
          <cell r="R104">
            <v>12913.935999999998</v>
          </cell>
          <cell r="S104">
            <v>9907</v>
          </cell>
          <cell r="T104">
            <v>28663.331000000006</v>
          </cell>
          <cell r="U104">
            <v>7487</v>
          </cell>
          <cell r="V104">
            <v>19185.596000000001</v>
          </cell>
          <cell r="W104">
            <v>12538</v>
          </cell>
          <cell r="X104">
            <v>34853.256000000001</v>
          </cell>
          <cell r="Y104">
            <v>8305</v>
          </cell>
          <cell r="Z104">
            <v>28364.83</v>
          </cell>
          <cell r="AA104">
            <v>3658</v>
          </cell>
          <cell r="AB104">
            <v>12634.11</v>
          </cell>
          <cell r="AC104" t="e">
            <v>#REF!</v>
          </cell>
        </row>
        <row r="105">
          <cell r="A105" t="str">
            <v>34596254</v>
          </cell>
          <cell r="B105" t="str">
            <v>시앤디전자(주)</v>
          </cell>
          <cell r="C105">
            <v>23899</v>
          </cell>
          <cell r="D105">
            <v>112786.25300000001</v>
          </cell>
          <cell r="E105">
            <v>2030</v>
          </cell>
          <cell r="F105">
            <v>9868.11</v>
          </cell>
          <cell r="G105">
            <v>1781</v>
          </cell>
          <cell r="H105">
            <v>8442.9599999999991</v>
          </cell>
          <cell r="I105">
            <v>1972</v>
          </cell>
          <cell r="J105">
            <v>9385.5989999999983</v>
          </cell>
          <cell r="K105">
            <v>2012</v>
          </cell>
          <cell r="L105">
            <v>9772.9989999999998</v>
          </cell>
          <cell r="M105">
            <v>1791</v>
          </cell>
          <cell r="N105">
            <v>8795.4680000000008</v>
          </cell>
          <cell r="O105">
            <v>1802</v>
          </cell>
          <cell r="P105">
            <v>9154.8249999999971</v>
          </cell>
          <cell r="Q105">
            <v>1941</v>
          </cell>
          <cell r="R105">
            <v>8321.6579999999994</v>
          </cell>
          <cell r="S105">
            <v>2257</v>
          </cell>
          <cell r="T105">
            <v>9420.7360000000008</v>
          </cell>
          <cell r="U105">
            <v>2111</v>
          </cell>
          <cell r="V105">
            <v>9316.4230000000007</v>
          </cell>
          <cell r="W105">
            <v>2231</v>
          </cell>
          <cell r="X105">
            <v>10630.865999999998</v>
          </cell>
          <cell r="Y105">
            <v>1970</v>
          </cell>
          <cell r="Z105">
            <v>9734.655999999999</v>
          </cell>
          <cell r="AA105">
            <v>2004</v>
          </cell>
          <cell r="AB105">
            <v>9941.9529999999995</v>
          </cell>
          <cell r="AC105" t="e">
            <v>#REF!</v>
          </cell>
        </row>
        <row r="106">
          <cell r="A106" t="str">
            <v>14238947</v>
          </cell>
          <cell r="B106" t="str">
            <v>신명상사</v>
          </cell>
          <cell r="C106">
            <v>110</v>
          </cell>
          <cell r="D106">
            <v>818.52799999999991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41</v>
          </cell>
          <cell r="R106">
            <v>249.21100000000001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69</v>
          </cell>
          <cell r="AB106">
            <v>569.31700000000001</v>
          </cell>
          <cell r="AC106" t="e">
            <v>#REF!</v>
          </cell>
        </row>
        <row r="107">
          <cell r="A107" t="str">
            <v>14238978</v>
          </cell>
          <cell r="B107" t="str">
            <v>신명상사</v>
          </cell>
          <cell r="C107">
            <v>33845</v>
          </cell>
          <cell r="D107">
            <v>167678.40600000002</v>
          </cell>
          <cell r="E107">
            <v>2370</v>
          </cell>
          <cell r="F107">
            <v>11765.395999999999</v>
          </cell>
          <cell r="G107">
            <v>2008</v>
          </cell>
          <cell r="H107">
            <v>9757.1409999999996</v>
          </cell>
          <cell r="I107">
            <v>3696</v>
          </cell>
          <cell r="J107">
            <v>18521.245000000003</v>
          </cell>
          <cell r="K107">
            <v>2911</v>
          </cell>
          <cell r="L107">
            <v>14109.183999999997</v>
          </cell>
          <cell r="M107">
            <v>2984</v>
          </cell>
          <cell r="N107">
            <v>14392.732</v>
          </cell>
          <cell r="O107">
            <v>4099</v>
          </cell>
          <cell r="P107">
            <v>20593.084999999999</v>
          </cell>
          <cell r="Q107">
            <v>2517</v>
          </cell>
          <cell r="R107">
            <v>12781.791999999999</v>
          </cell>
          <cell r="S107">
            <v>2406</v>
          </cell>
          <cell r="T107">
            <v>11130.36</v>
          </cell>
          <cell r="U107">
            <v>3473</v>
          </cell>
          <cell r="V107">
            <v>18651.274000000001</v>
          </cell>
          <cell r="W107">
            <v>1990</v>
          </cell>
          <cell r="X107">
            <v>9631.7660000000014</v>
          </cell>
          <cell r="Y107">
            <v>2954</v>
          </cell>
          <cell r="Z107">
            <v>14139.946000000002</v>
          </cell>
          <cell r="AA107">
            <v>2436</v>
          </cell>
          <cell r="AB107">
            <v>12204.485000000001</v>
          </cell>
          <cell r="AC107" t="e">
            <v>#REF!</v>
          </cell>
        </row>
        <row r="108">
          <cell r="A108" t="str">
            <v>39250645</v>
          </cell>
          <cell r="B108" t="str">
            <v>신한도장</v>
          </cell>
          <cell r="C108">
            <v>31758</v>
          </cell>
          <cell r="D108">
            <v>87791.586000000025</v>
          </cell>
          <cell r="E108">
            <v>643</v>
          </cell>
          <cell r="F108">
            <v>1814.0290000000002</v>
          </cell>
          <cell r="G108">
            <v>549</v>
          </cell>
          <cell r="H108">
            <v>1554.954</v>
          </cell>
          <cell r="I108">
            <v>2827</v>
          </cell>
          <cell r="J108">
            <v>7590.6829999999991</v>
          </cell>
          <cell r="K108">
            <v>3443</v>
          </cell>
          <cell r="L108">
            <v>10525.201999999997</v>
          </cell>
          <cell r="M108">
            <v>1538</v>
          </cell>
          <cell r="N108">
            <v>3565.8890000000006</v>
          </cell>
          <cell r="O108">
            <v>1506</v>
          </cell>
          <cell r="P108">
            <v>4906.7629999999999</v>
          </cell>
          <cell r="Q108">
            <v>6159</v>
          </cell>
          <cell r="R108">
            <v>16279.97</v>
          </cell>
          <cell r="S108">
            <v>1440</v>
          </cell>
          <cell r="T108">
            <v>3573.7650000000003</v>
          </cell>
          <cell r="U108">
            <v>2043</v>
          </cell>
          <cell r="V108">
            <v>5377.9880000000003</v>
          </cell>
          <cell r="W108">
            <v>4292</v>
          </cell>
          <cell r="X108">
            <v>12016.983</v>
          </cell>
          <cell r="Y108">
            <v>5182</v>
          </cell>
          <cell r="Z108">
            <v>14336.286</v>
          </cell>
          <cell r="AA108">
            <v>2145</v>
          </cell>
          <cell r="AB108">
            <v>6249.0740000000005</v>
          </cell>
          <cell r="AC108" t="e">
            <v>#REF!</v>
          </cell>
        </row>
        <row r="109">
          <cell r="A109" t="str">
            <v>29789447</v>
          </cell>
          <cell r="B109" t="str">
            <v>신흥건설도장(주)</v>
          </cell>
          <cell r="C109">
            <v>584712</v>
          </cell>
          <cell r="D109">
            <v>1325464.6630000002</v>
          </cell>
          <cell r="E109">
            <v>18173</v>
          </cell>
          <cell r="F109">
            <v>44262.62</v>
          </cell>
          <cell r="G109">
            <v>16039</v>
          </cell>
          <cell r="H109">
            <v>40096.311999999991</v>
          </cell>
          <cell r="I109">
            <v>40745</v>
          </cell>
          <cell r="J109">
            <v>97208.820999999982</v>
          </cell>
          <cell r="K109">
            <v>55856</v>
          </cell>
          <cell r="L109">
            <v>128418.63099999998</v>
          </cell>
          <cell r="M109">
            <v>46699</v>
          </cell>
          <cell r="N109">
            <v>106824.24099999998</v>
          </cell>
          <cell r="O109">
            <v>57136</v>
          </cell>
          <cell r="P109">
            <v>134121.71700000003</v>
          </cell>
          <cell r="Q109">
            <v>37691</v>
          </cell>
          <cell r="R109">
            <v>103746.97399999997</v>
          </cell>
          <cell r="S109">
            <v>70849</v>
          </cell>
          <cell r="T109">
            <v>152438.23400000005</v>
          </cell>
          <cell r="U109">
            <v>73509</v>
          </cell>
          <cell r="V109">
            <v>150196.97299999994</v>
          </cell>
          <cell r="W109">
            <v>66561</v>
          </cell>
          <cell r="X109">
            <v>141284.40599999999</v>
          </cell>
          <cell r="Y109">
            <v>69792</v>
          </cell>
          <cell r="Z109">
            <v>149634.96499999997</v>
          </cell>
          <cell r="AA109">
            <v>31665</v>
          </cell>
          <cell r="AB109">
            <v>77230.768999999971</v>
          </cell>
          <cell r="AC109" t="e">
            <v>#REF!</v>
          </cell>
        </row>
        <row r="110">
          <cell r="A110" t="str">
            <v>29789477</v>
          </cell>
          <cell r="B110" t="str">
            <v>신흥건설도장(주)</v>
          </cell>
          <cell r="C110">
            <v>82</v>
          </cell>
          <cell r="D110">
            <v>499.44600000000003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82</v>
          </cell>
          <cell r="Z110">
            <v>499.44600000000003</v>
          </cell>
          <cell r="AA110">
            <v>0</v>
          </cell>
          <cell r="AB110">
            <v>0</v>
          </cell>
          <cell r="AC110" t="e">
            <v>#REF!</v>
          </cell>
        </row>
        <row r="111">
          <cell r="A111" t="str">
            <v>00891947</v>
          </cell>
          <cell r="B111" t="str">
            <v>쌍용화학</v>
          </cell>
          <cell r="C111">
            <v>384954</v>
          </cell>
          <cell r="D111">
            <v>1471524.5969999998</v>
          </cell>
          <cell r="E111">
            <v>32665</v>
          </cell>
          <cell r="F111">
            <v>125726.82399999999</v>
          </cell>
          <cell r="G111">
            <v>27471</v>
          </cell>
          <cell r="H111">
            <v>104937.79</v>
          </cell>
          <cell r="I111">
            <v>33339</v>
          </cell>
          <cell r="J111">
            <v>124986.925</v>
          </cell>
          <cell r="K111">
            <v>30771</v>
          </cell>
          <cell r="L111">
            <v>123254.60199999998</v>
          </cell>
          <cell r="M111">
            <v>29630</v>
          </cell>
          <cell r="N111">
            <v>113519.232</v>
          </cell>
          <cell r="O111">
            <v>32582</v>
          </cell>
          <cell r="P111">
            <v>122517.00399999999</v>
          </cell>
          <cell r="Q111">
            <v>30898</v>
          </cell>
          <cell r="R111">
            <v>114598.62200000002</v>
          </cell>
          <cell r="S111">
            <v>34801</v>
          </cell>
          <cell r="T111">
            <v>128711.86</v>
          </cell>
          <cell r="U111">
            <v>31276</v>
          </cell>
          <cell r="V111">
            <v>120021.573</v>
          </cell>
          <cell r="W111">
            <v>35080</v>
          </cell>
          <cell r="X111">
            <v>135166.41</v>
          </cell>
          <cell r="Y111">
            <v>35831</v>
          </cell>
          <cell r="Z111">
            <v>133834.24899999995</v>
          </cell>
          <cell r="AA111">
            <v>30606</v>
          </cell>
          <cell r="AB111">
            <v>124249.50600000002</v>
          </cell>
          <cell r="AC111" t="e">
            <v>#REF!</v>
          </cell>
        </row>
        <row r="112">
          <cell r="A112" t="str">
            <v>56864347</v>
          </cell>
          <cell r="B112" t="str">
            <v>에이케이씨산업(주)</v>
          </cell>
          <cell r="C112">
            <v>3071</v>
          </cell>
          <cell r="D112">
            <v>7114.7040000000006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2452</v>
          </cell>
          <cell r="N112">
            <v>5513.7719999999999</v>
          </cell>
          <cell r="O112">
            <v>618</v>
          </cell>
          <cell r="P112">
            <v>1600.932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 t="e">
            <v>#REF!</v>
          </cell>
        </row>
        <row r="113">
          <cell r="A113" t="str">
            <v>14201154</v>
          </cell>
          <cell r="B113" t="str">
            <v>엘레강스아이에스</v>
          </cell>
          <cell r="C113">
            <v>285910</v>
          </cell>
          <cell r="D113">
            <v>602968.11</v>
          </cell>
          <cell r="E113">
            <v>18066</v>
          </cell>
          <cell r="F113">
            <v>37867.065999999999</v>
          </cell>
          <cell r="G113">
            <v>15613</v>
          </cell>
          <cell r="H113">
            <v>33987.582999999999</v>
          </cell>
          <cell r="I113">
            <v>20805</v>
          </cell>
          <cell r="J113">
            <v>45402.858</v>
          </cell>
          <cell r="K113">
            <v>26530</v>
          </cell>
          <cell r="L113">
            <v>54228.627</v>
          </cell>
          <cell r="M113">
            <v>29682</v>
          </cell>
          <cell r="N113">
            <v>65035.771999999997</v>
          </cell>
          <cell r="O113">
            <v>25209</v>
          </cell>
          <cell r="P113">
            <v>51149.164000000004</v>
          </cell>
          <cell r="Q113">
            <v>18013</v>
          </cell>
          <cell r="R113">
            <v>38279.701000000001</v>
          </cell>
          <cell r="S113">
            <v>26267</v>
          </cell>
          <cell r="T113">
            <v>52993.24</v>
          </cell>
          <cell r="U113">
            <v>27585</v>
          </cell>
          <cell r="V113">
            <v>58092.603999999999</v>
          </cell>
          <cell r="W113">
            <v>31097</v>
          </cell>
          <cell r="X113">
            <v>67714.244999999995</v>
          </cell>
          <cell r="Y113">
            <v>27908</v>
          </cell>
          <cell r="Z113">
            <v>56644.542000000001</v>
          </cell>
          <cell r="AA113">
            <v>19143</v>
          </cell>
          <cell r="AB113">
            <v>41572.707999999999</v>
          </cell>
          <cell r="AC113" t="e">
            <v>#REF!</v>
          </cell>
        </row>
        <row r="114">
          <cell r="A114" t="str">
            <v>26881573</v>
          </cell>
          <cell r="B114" t="str">
            <v>영동화학</v>
          </cell>
          <cell r="C114">
            <v>8465</v>
          </cell>
          <cell r="D114">
            <v>46882.021999999997</v>
          </cell>
          <cell r="E114">
            <v>457</v>
          </cell>
          <cell r="F114">
            <v>2836.71</v>
          </cell>
          <cell r="G114">
            <v>598</v>
          </cell>
          <cell r="H114">
            <v>3256.7829999999999</v>
          </cell>
          <cell r="I114">
            <v>386</v>
          </cell>
          <cell r="J114">
            <v>2230.4630000000002</v>
          </cell>
          <cell r="K114">
            <v>524</v>
          </cell>
          <cell r="L114">
            <v>3439.741</v>
          </cell>
          <cell r="M114">
            <v>385</v>
          </cell>
          <cell r="N114">
            <v>1937.194</v>
          </cell>
          <cell r="O114">
            <v>867</v>
          </cell>
          <cell r="P114">
            <v>4697.1990000000005</v>
          </cell>
          <cell r="Q114">
            <v>1396</v>
          </cell>
          <cell r="R114">
            <v>7612.79</v>
          </cell>
          <cell r="S114">
            <v>338</v>
          </cell>
          <cell r="T114">
            <v>1677.0919999999999</v>
          </cell>
          <cell r="U114">
            <v>358</v>
          </cell>
          <cell r="V114">
            <v>1795.3229999999999</v>
          </cell>
          <cell r="W114">
            <v>1257</v>
          </cell>
          <cell r="X114">
            <v>6690.5380000000005</v>
          </cell>
          <cell r="Y114">
            <v>525</v>
          </cell>
          <cell r="Z114">
            <v>2972.4409999999998</v>
          </cell>
          <cell r="AA114">
            <v>1375</v>
          </cell>
          <cell r="AB114">
            <v>7735.7480000000005</v>
          </cell>
          <cell r="AC114" t="e">
            <v>#REF!</v>
          </cell>
        </row>
        <row r="115">
          <cell r="A115" t="str">
            <v>23416345</v>
          </cell>
          <cell r="B115" t="str">
            <v>영진특수화학</v>
          </cell>
          <cell r="C115">
            <v>42284</v>
          </cell>
          <cell r="D115">
            <v>144491.49900000001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13330</v>
          </cell>
          <cell r="T115">
            <v>42564.826999999997</v>
          </cell>
          <cell r="U115">
            <v>4766</v>
          </cell>
          <cell r="V115">
            <v>16315.031999999999</v>
          </cell>
          <cell r="W115">
            <v>12863</v>
          </cell>
          <cell r="X115">
            <v>50025.024000000005</v>
          </cell>
          <cell r="Y115">
            <v>11325</v>
          </cell>
          <cell r="Z115">
            <v>35586.616000000002</v>
          </cell>
          <cell r="AA115">
            <v>0</v>
          </cell>
          <cell r="AB115">
            <v>0</v>
          </cell>
          <cell r="AC115" t="e">
            <v>#REF!</v>
          </cell>
        </row>
        <row r="116">
          <cell r="A116" t="str">
            <v>30314945</v>
          </cell>
          <cell r="B116" t="str">
            <v>영창개발(주)</v>
          </cell>
          <cell r="C116">
            <v>55278</v>
          </cell>
          <cell r="D116">
            <v>82914.332999999999</v>
          </cell>
          <cell r="E116">
            <v>1818</v>
          </cell>
          <cell r="F116">
            <v>2795.0660000000003</v>
          </cell>
          <cell r="G116">
            <v>3528</v>
          </cell>
          <cell r="H116">
            <v>5276.7380000000003</v>
          </cell>
          <cell r="I116">
            <v>14321</v>
          </cell>
          <cell r="J116">
            <v>18738.812000000005</v>
          </cell>
          <cell r="K116">
            <v>15779</v>
          </cell>
          <cell r="L116">
            <v>23500.753000000001</v>
          </cell>
          <cell r="M116">
            <v>9917</v>
          </cell>
          <cell r="N116">
            <v>16494.603999999996</v>
          </cell>
          <cell r="O116">
            <v>6326</v>
          </cell>
          <cell r="P116">
            <v>9187.5680000000011</v>
          </cell>
          <cell r="Q116">
            <v>296</v>
          </cell>
          <cell r="R116">
            <v>395.22699999999998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3215</v>
          </cell>
          <cell r="Z116">
            <v>6291.7180000000008</v>
          </cell>
          <cell r="AA116">
            <v>80</v>
          </cell>
          <cell r="AB116">
            <v>233.84700000000001</v>
          </cell>
          <cell r="AC116" t="e">
            <v>#REF!</v>
          </cell>
        </row>
        <row r="117">
          <cell r="A117" t="str">
            <v>00900954</v>
          </cell>
          <cell r="B117" t="str">
            <v>영창악기(주)</v>
          </cell>
          <cell r="C117">
            <v>20519</v>
          </cell>
          <cell r="D117">
            <v>54189.303999999996</v>
          </cell>
          <cell r="E117">
            <v>1646</v>
          </cell>
          <cell r="F117">
            <v>3757.241</v>
          </cell>
          <cell r="G117">
            <v>1886</v>
          </cell>
          <cell r="H117">
            <v>5180.9520000000002</v>
          </cell>
          <cell r="I117">
            <v>2373</v>
          </cell>
          <cell r="J117">
            <v>6802.8069999999998</v>
          </cell>
          <cell r="K117">
            <v>1206</v>
          </cell>
          <cell r="L117">
            <v>3651.4950000000003</v>
          </cell>
          <cell r="M117">
            <v>2408</v>
          </cell>
          <cell r="N117">
            <v>6613.0920000000006</v>
          </cell>
          <cell r="O117">
            <v>616</v>
          </cell>
          <cell r="P117">
            <v>2270.1129999999998</v>
          </cell>
          <cell r="Q117">
            <v>5</v>
          </cell>
          <cell r="R117">
            <v>31.343</v>
          </cell>
          <cell r="S117">
            <v>1231</v>
          </cell>
          <cell r="T117">
            <v>3002.5039999999999</v>
          </cell>
          <cell r="U117">
            <v>1354</v>
          </cell>
          <cell r="V117">
            <v>3249.7109999999998</v>
          </cell>
          <cell r="W117">
            <v>4018</v>
          </cell>
          <cell r="X117">
            <v>9429.7800000000007</v>
          </cell>
          <cell r="Y117">
            <v>2191</v>
          </cell>
          <cell r="Z117">
            <v>5520.2190000000001</v>
          </cell>
          <cell r="AA117">
            <v>1585</v>
          </cell>
          <cell r="AB117">
            <v>4680.0469999999996</v>
          </cell>
          <cell r="AC117" t="e">
            <v>#REF!</v>
          </cell>
        </row>
        <row r="118">
          <cell r="A118" t="str">
            <v>51661947</v>
          </cell>
          <cell r="B118" t="str">
            <v>영환상사</v>
          </cell>
          <cell r="C118">
            <v>28493</v>
          </cell>
          <cell r="D118">
            <v>84574.748000000007</v>
          </cell>
          <cell r="E118">
            <v>1338</v>
          </cell>
          <cell r="F118">
            <v>4877.6549999999997</v>
          </cell>
          <cell r="G118">
            <v>700</v>
          </cell>
          <cell r="H118">
            <v>2078.9070000000002</v>
          </cell>
          <cell r="I118">
            <v>2069</v>
          </cell>
          <cell r="J118">
            <v>7002.1440000000002</v>
          </cell>
          <cell r="K118">
            <v>1746</v>
          </cell>
          <cell r="L118">
            <v>5132.982</v>
          </cell>
          <cell r="M118">
            <v>5012</v>
          </cell>
          <cell r="N118">
            <v>14075.122000000001</v>
          </cell>
          <cell r="O118">
            <v>3294</v>
          </cell>
          <cell r="P118">
            <v>10518.698999999999</v>
          </cell>
          <cell r="Q118">
            <v>686</v>
          </cell>
          <cell r="R118">
            <v>2282.1729999999998</v>
          </cell>
          <cell r="S118">
            <v>3387</v>
          </cell>
          <cell r="T118">
            <v>9599.2139999999999</v>
          </cell>
          <cell r="U118">
            <v>2316</v>
          </cell>
          <cell r="V118">
            <v>6355.7190000000019</v>
          </cell>
          <cell r="W118">
            <v>4562</v>
          </cell>
          <cell r="X118">
            <v>11889.25</v>
          </cell>
          <cell r="Y118">
            <v>2202</v>
          </cell>
          <cell r="Z118">
            <v>6217.3859999999995</v>
          </cell>
          <cell r="AA118">
            <v>1180</v>
          </cell>
          <cell r="AB118">
            <v>4545.4970000000003</v>
          </cell>
          <cell r="AC118" t="e">
            <v>#REF!</v>
          </cell>
        </row>
        <row r="119">
          <cell r="A119" t="str">
            <v>56844445</v>
          </cell>
          <cell r="B119" t="str">
            <v>우리건설주식회사</v>
          </cell>
          <cell r="C119">
            <v>444</v>
          </cell>
          <cell r="D119">
            <v>2286.4229999999998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444</v>
          </cell>
          <cell r="L119">
            <v>2286.4229999999998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 t="e">
            <v>#REF!</v>
          </cell>
        </row>
        <row r="120">
          <cell r="A120" t="str">
            <v>51896847</v>
          </cell>
          <cell r="B120" t="str">
            <v>우성도료산업</v>
          </cell>
          <cell r="C120">
            <v>32483</v>
          </cell>
          <cell r="D120">
            <v>109231.603</v>
          </cell>
          <cell r="E120">
            <v>1298</v>
          </cell>
          <cell r="F120">
            <v>4921.491</v>
          </cell>
          <cell r="G120">
            <v>2473</v>
          </cell>
          <cell r="H120">
            <v>6586.2750000000005</v>
          </cell>
          <cell r="I120">
            <v>1555</v>
          </cell>
          <cell r="J120">
            <v>7651.2180000000008</v>
          </cell>
          <cell r="K120">
            <v>4190</v>
          </cell>
          <cell r="L120">
            <v>9676.5920000000024</v>
          </cell>
          <cell r="M120">
            <v>1784</v>
          </cell>
          <cell r="N120">
            <v>6711.37</v>
          </cell>
          <cell r="O120">
            <v>3159</v>
          </cell>
          <cell r="P120">
            <v>14576.607</v>
          </cell>
          <cell r="Q120">
            <v>4176</v>
          </cell>
          <cell r="R120">
            <v>11052.703</v>
          </cell>
          <cell r="S120">
            <v>2217</v>
          </cell>
          <cell r="T120">
            <v>9702.5830000000024</v>
          </cell>
          <cell r="U120">
            <v>2631</v>
          </cell>
          <cell r="V120">
            <v>8484.9040000000005</v>
          </cell>
          <cell r="W120">
            <v>1906</v>
          </cell>
          <cell r="X120">
            <v>8515.7440000000006</v>
          </cell>
          <cell r="Y120">
            <v>6167</v>
          </cell>
          <cell r="Z120">
            <v>18565.836000000003</v>
          </cell>
          <cell r="AA120">
            <v>938</v>
          </cell>
          <cell r="AB120">
            <v>2786.28</v>
          </cell>
          <cell r="AC120" t="e">
            <v>#REF!</v>
          </cell>
        </row>
        <row r="121">
          <cell r="A121" t="str">
            <v>44262978</v>
          </cell>
          <cell r="B121" t="str">
            <v>우정상사</v>
          </cell>
          <cell r="C121">
            <v>15827</v>
          </cell>
          <cell r="D121">
            <v>79236.39499999999</v>
          </cell>
          <cell r="E121">
            <v>2689</v>
          </cell>
          <cell r="F121">
            <v>13324.794999999998</v>
          </cell>
          <cell r="G121">
            <v>1175</v>
          </cell>
          <cell r="H121">
            <v>5463.94</v>
          </cell>
          <cell r="I121">
            <v>662</v>
          </cell>
          <cell r="J121">
            <v>3050.62</v>
          </cell>
          <cell r="K121">
            <v>465</v>
          </cell>
          <cell r="L121">
            <v>2381.1619999999998</v>
          </cell>
          <cell r="M121">
            <v>521</v>
          </cell>
          <cell r="N121">
            <v>3364.7350000000001</v>
          </cell>
          <cell r="O121">
            <v>461</v>
          </cell>
          <cell r="P121">
            <v>2357.7399999999998</v>
          </cell>
          <cell r="Q121">
            <v>1639</v>
          </cell>
          <cell r="R121">
            <v>7942.8860000000004</v>
          </cell>
          <cell r="S121">
            <v>1610</v>
          </cell>
          <cell r="T121">
            <v>8876.16</v>
          </cell>
          <cell r="U121">
            <v>1153</v>
          </cell>
          <cell r="V121">
            <v>5879.8540000000003</v>
          </cell>
          <cell r="W121">
            <v>1325</v>
          </cell>
          <cell r="X121">
            <v>6596.5659999999998</v>
          </cell>
          <cell r="Y121">
            <v>1645</v>
          </cell>
          <cell r="Z121">
            <v>7858.38</v>
          </cell>
          <cell r="AA121">
            <v>2479</v>
          </cell>
          <cell r="AB121">
            <v>12139.556999999999</v>
          </cell>
          <cell r="AC121" t="e">
            <v>#REF!</v>
          </cell>
        </row>
        <row r="122">
          <cell r="A122" t="str">
            <v>39666373</v>
          </cell>
          <cell r="B122" t="str">
            <v>유원기업</v>
          </cell>
          <cell r="C122">
            <v>25960</v>
          </cell>
          <cell r="D122">
            <v>139873.83499999999</v>
          </cell>
          <cell r="E122">
            <v>1517</v>
          </cell>
          <cell r="F122">
            <v>8415.66</v>
          </cell>
          <cell r="G122">
            <v>825</v>
          </cell>
          <cell r="H122">
            <v>4142.366</v>
          </cell>
          <cell r="I122">
            <v>1112</v>
          </cell>
          <cell r="J122">
            <v>6804.3249999999998</v>
          </cell>
          <cell r="K122">
            <v>2093</v>
          </cell>
          <cell r="L122">
            <v>11265.003999999999</v>
          </cell>
          <cell r="M122">
            <v>1296</v>
          </cell>
          <cell r="N122">
            <v>7214.5789999999997</v>
          </cell>
          <cell r="O122">
            <v>1434</v>
          </cell>
          <cell r="P122">
            <v>8354.2350000000006</v>
          </cell>
          <cell r="Q122">
            <v>4734</v>
          </cell>
          <cell r="R122">
            <v>23936.363000000001</v>
          </cell>
          <cell r="S122">
            <v>3230</v>
          </cell>
          <cell r="T122">
            <v>15343.274000000001</v>
          </cell>
          <cell r="U122">
            <v>4120</v>
          </cell>
          <cell r="V122">
            <v>21125.941999999999</v>
          </cell>
          <cell r="W122">
            <v>1614</v>
          </cell>
          <cell r="X122">
            <v>9602.4320000000007</v>
          </cell>
          <cell r="Y122">
            <v>2521</v>
          </cell>
          <cell r="Z122">
            <v>15317.092999999999</v>
          </cell>
          <cell r="AA122">
            <v>1464</v>
          </cell>
          <cell r="AB122">
            <v>8352.5619999999999</v>
          </cell>
          <cell r="AC122" t="e">
            <v>#REF!</v>
          </cell>
        </row>
        <row r="123">
          <cell r="A123" t="str">
            <v>26703245</v>
          </cell>
          <cell r="B123" t="str">
            <v>유일기공</v>
          </cell>
          <cell r="C123">
            <v>26691</v>
          </cell>
          <cell r="D123">
            <v>80990.755999999994</v>
          </cell>
          <cell r="E123">
            <v>12249</v>
          </cell>
          <cell r="F123">
            <v>35989.603000000003</v>
          </cell>
          <cell r="G123">
            <v>573</v>
          </cell>
          <cell r="H123">
            <v>2380.0590000000002</v>
          </cell>
          <cell r="I123">
            <v>4854</v>
          </cell>
          <cell r="J123">
            <v>14169.631000000001</v>
          </cell>
          <cell r="K123">
            <v>1379</v>
          </cell>
          <cell r="L123">
            <v>3892.886</v>
          </cell>
          <cell r="M123">
            <v>2278</v>
          </cell>
          <cell r="N123">
            <v>8571.4560000000001</v>
          </cell>
          <cell r="O123">
            <v>1326</v>
          </cell>
          <cell r="P123">
            <v>4596.835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2272</v>
          </cell>
          <cell r="Z123">
            <v>7139.6819999999989</v>
          </cell>
          <cell r="AA123">
            <v>1761</v>
          </cell>
          <cell r="AB123">
            <v>4250.6039999999994</v>
          </cell>
          <cell r="AC123" t="e">
            <v>#REF!</v>
          </cell>
        </row>
        <row r="124">
          <cell r="A124" t="str">
            <v>01144345</v>
          </cell>
          <cell r="B124" t="str">
            <v>인일건설(주)</v>
          </cell>
          <cell r="C124">
            <v>22690</v>
          </cell>
          <cell r="D124">
            <v>51926.613000000005</v>
          </cell>
          <cell r="E124">
            <v>2579</v>
          </cell>
          <cell r="F124">
            <v>1500.5260000000001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1069</v>
          </cell>
          <cell r="N124">
            <v>1493.203</v>
          </cell>
          <cell r="O124">
            <v>13662</v>
          </cell>
          <cell r="P124">
            <v>27466.369000000002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679</v>
          </cell>
          <cell r="X124">
            <v>3295.241</v>
          </cell>
          <cell r="Y124">
            <v>92</v>
          </cell>
          <cell r="Z124">
            <v>704.99199999999996</v>
          </cell>
          <cell r="AA124">
            <v>4610</v>
          </cell>
          <cell r="AB124">
            <v>17466.281999999999</v>
          </cell>
          <cell r="AC124" t="e">
            <v>#REF!</v>
          </cell>
        </row>
        <row r="125">
          <cell r="A125" t="str">
            <v>01150845</v>
          </cell>
          <cell r="B125" t="str">
            <v>일광상사</v>
          </cell>
          <cell r="C125">
            <v>3505</v>
          </cell>
          <cell r="D125">
            <v>8024.4180000000006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364</v>
          </cell>
          <cell r="J125">
            <v>1224.6559999999999</v>
          </cell>
          <cell r="K125">
            <v>42</v>
          </cell>
          <cell r="L125">
            <v>203.233</v>
          </cell>
          <cell r="M125">
            <v>129</v>
          </cell>
          <cell r="N125">
            <v>420.11500000000001</v>
          </cell>
          <cell r="O125">
            <v>1158</v>
          </cell>
          <cell r="P125">
            <v>2809.3180000000002</v>
          </cell>
          <cell r="Q125">
            <v>0</v>
          </cell>
          <cell r="R125">
            <v>0</v>
          </cell>
          <cell r="S125">
            <v>423</v>
          </cell>
          <cell r="T125">
            <v>846.42200000000003</v>
          </cell>
          <cell r="U125">
            <v>414</v>
          </cell>
          <cell r="V125">
            <v>764.298</v>
          </cell>
          <cell r="W125">
            <v>345</v>
          </cell>
          <cell r="X125">
            <v>815.72399999999993</v>
          </cell>
          <cell r="Y125">
            <v>630</v>
          </cell>
          <cell r="Z125">
            <v>940.65200000000004</v>
          </cell>
          <cell r="AA125">
            <v>0</v>
          </cell>
          <cell r="AB125">
            <v>0</v>
          </cell>
          <cell r="AC125" t="e">
            <v>#REF!</v>
          </cell>
        </row>
        <row r="126">
          <cell r="A126" t="str">
            <v>01152378</v>
          </cell>
          <cell r="B126" t="str">
            <v>재영산업(주)</v>
          </cell>
          <cell r="C126">
            <v>96866</v>
          </cell>
          <cell r="D126">
            <v>480871.08299999998</v>
          </cell>
          <cell r="E126">
            <v>8892</v>
          </cell>
          <cell r="F126">
            <v>43634.523999999998</v>
          </cell>
          <cell r="G126">
            <v>9225</v>
          </cell>
          <cell r="H126">
            <v>46084.956000000006</v>
          </cell>
          <cell r="I126">
            <v>8328</v>
          </cell>
          <cell r="J126">
            <v>41217.303000000007</v>
          </cell>
          <cell r="K126">
            <v>8221</v>
          </cell>
          <cell r="L126">
            <v>42628.813999999998</v>
          </cell>
          <cell r="M126">
            <v>7664</v>
          </cell>
          <cell r="N126">
            <v>37965.906000000003</v>
          </cell>
          <cell r="O126">
            <v>9434</v>
          </cell>
          <cell r="P126">
            <v>47065.186999999998</v>
          </cell>
          <cell r="Q126">
            <v>8144</v>
          </cell>
          <cell r="R126">
            <v>40531.264999999999</v>
          </cell>
          <cell r="S126">
            <v>6055</v>
          </cell>
          <cell r="T126">
            <v>29222.712</v>
          </cell>
          <cell r="U126">
            <v>6855</v>
          </cell>
          <cell r="V126">
            <v>34362.614999999998</v>
          </cell>
          <cell r="W126">
            <v>8433</v>
          </cell>
          <cell r="X126">
            <v>41195.809000000001</v>
          </cell>
          <cell r="Y126">
            <v>9195</v>
          </cell>
          <cell r="Z126">
            <v>45785.014999999999</v>
          </cell>
          <cell r="AA126">
            <v>6417</v>
          </cell>
          <cell r="AB126">
            <v>31176.977000000003</v>
          </cell>
          <cell r="AC126" t="e">
            <v>#REF!</v>
          </cell>
        </row>
        <row r="127">
          <cell r="A127" t="str">
            <v>27608547</v>
          </cell>
          <cell r="B127" t="str">
            <v>제일도료</v>
          </cell>
          <cell r="C127">
            <v>193055</v>
          </cell>
          <cell r="D127">
            <v>511188.18400000012</v>
          </cell>
          <cell r="E127">
            <v>9495</v>
          </cell>
          <cell r="F127">
            <v>27485.206999999999</v>
          </cell>
          <cell r="G127">
            <v>7264</v>
          </cell>
          <cell r="H127">
            <v>22445.101999999995</v>
          </cell>
          <cell r="I127">
            <v>16140</v>
          </cell>
          <cell r="J127">
            <v>41972.777999999998</v>
          </cell>
          <cell r="K127">
            <v>12075</v>
          </cell>
          <cell r="L127">
            <v>33397.598999999995</v>
          </cell>
          <cell r="M127">
            <v>8461</v>
          </cell>
          <cell r="N127">
            <v>23561.146999999997</v>
          </cell>
          <cell r="O127">
            <v>20937</v>
          </cell>
          <cell r="P127">
            <v>55555.141000000003</v>
          </cell>
          <cell r="Q127">
            <v>25434</v>
          </cell>
          <cell r="R127">
            <v>55633.62</v>
          </cell>
          <cell r="S127">
            <v>17460</v>
          </cell>
          <cell r="T127">
            <v>43459.313999999998</v>
          </cell>
          <cell r="U127">
            <v>25894</v>
          </cell>
          <cell r="V127">
            <v>66900.53</v>
          </cell>
          <cell r="W127">
            <v>29059</v>
          </cell>
          <cell r="X127">
            <v>79582.255999999979</v>
          </cell>
          <cell r="Y127">
            <v>11429</v>
          </cell>
          <cell r="Z127">
            <v>33729.50299999999</v>
          </cell>
          <cell r="AA127">
            <v>9415</v>
          </cell>
          <cell r="AB127">
            <v>27465.987000000001</v>
          </cell>
          <cell r="AC127" t="e">
            <v>#REF!</v>
          </cell>
        </row>
        <row r="128">
          <cell r="A128" t="str">
            <v>27608577</v>
          </cell>
          <cell r="B128" t="str">
            <v>제일도료</v>
          </cell>
          <cell r="C128">
            <v>163</v>
          </cell>
          <cell r="D128">
            <v>1223.2729999999999</v>
          </cell>
          <cell r="E128">
            <v>22</v>
          </cell>
          <cell r="F128">
            <v>162.16999999999999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80</v>
          </cell>
          <cell r="V128">
            <v>607.68600000000004</v>
          </cell>
          <cell r="W128">
            <v>0</v>
          </cell>
          <cell r="X128">
            <v>0</v>
          </cell>
          <cell r="Y128">
            <v>61</v>
          </cell>
          <cell r="Z128">
            <v>453.41699999999997</v>
          </cell>
          <cell r="AA128">
            <v>0</v>
          </cell>
          <cell r="AB128">
            <v>0</v>
          </cell>
          <cell r="AC128" t="e">
            <v>#REF!</v>
          </cell>
        </row>
        <row r="129">
          <cell r="A129" t="str">
            <v>03588773</v>
          </cell>
          <cell r="B129" t="str">
            <v>제일산업</v>
          </cell>
          <cell r="C129">
            <v>32244</v>
          </cell>
          <cell r="D129">
            <v>231184.1</v>
          </cell>
          <cell r="E129">
            <v>1808</v>
          </cell>
          <cell r="F129">
            <v>13149.759</v>
          </cell>
          <cell r="G129">
            <v>1153</v>
          </cell>
          <cell r="H129">
            <v>8888.0669999999991</v>
          </cell>
          <cell r="I129">
            <v>4165</v>
          </cell>
          <cell r="J129">
            <v>29945.924000000003</v>
          </cell>
          <cell r="K129">
            <v>1229</v>
          </cell>
          <cell r="L129">
            <v>9541.3170000000009</v>
          </cell>
          <cell r="M129">
            <v>1307</v>
          </cell>
          <cell r="N129">
            <v>10804.456</v>
          </cell>
          <cell r="O129">
            <v>3554</v>
          </cell>
          <cell r="P129">
            <v>29770.260999999999</v>
          </cell>
          <cell r="Q129">
            <v>320</v>
          </cell>
          <cell r="R129">
            <v>2073.3130000000001</v>
          </cell>
          <cell r="S129">
            <v>6581</v>
          </cell>
          <cell r="T129">
            <v>44388.608</v>
          </cell>
          <cell r="U129">
            <v>477</v>
          </cell>
          <cell r="V129">
            <v>3375.8510000000001</v>
          </cell>
          <cell r="W129">
            <v>4536</v>
          </cell>
          <cell r="X129">
            <v>31702.133000000002</v>
          </cell>
          <cell r="Y129">
            <v>3566</v>
          </cell>
          <cell r="Z129">
            <v>23806.129000000001</v>
          </cell>
          <cell r="AA129">
            <v>3546</v>
          </cell>
          <cell r="AB129">
            <v>23738.281999999999</v>
          </cell>
          <cell r="AC129" t="e">
            <v>#REF!</v>
          </cell>
        </row>
        <row r="130">
          <cell r="A130" t="str">
            <v>45010347</v>
          </cell>
          <cell r="B130" t="str">
            <v>주목</v>
          </cell>
          <cell r="C130">
            <v>69279</v>
          </cell>
          <cell r="D130">
            <v>154382.55899999998</v>
          </cell>
          <cell r="E130">
            <v>74</v>
          </cell>
          <cell r="F130">
            <v>253.399</v>
          </cell>
          <cell r="G130">
            <v>2134</v>
          </cell>
          <cell r="H130">
            <v>4017.4520000000002</v>
          </cell>
          <cell r="I130">
            <v>12739</v>
          </cell>
          <cell r="J130">
            <v>27472.369000000002</v>
          </cell>
          <cell r="K130">
            <v>2653</v>
          </cell>
          <cell r="L130">
            <v>6459.8379999999997</v>
          </cell>
          <cell r="M130">
            <v>1937</v>
          </cell>
          <cell r="N130">
            <v>4590.8919999999998</v>
          </cell>
          <cell r="O130">
            <v>9611</v>
          </cell>
          <cell r="P130">
            <v>21003.815999999999</v>
          </cell>
          <cell r="Q130">
            <v>11872</v>
          </cell>
          <cell r="R130">
            <v>22488.694</v>
          </cell>
          <cell r="S130">
            <v>9167</v>
          </cell>
          <cell r="T130">
            <v>20382.723000000002</v>
          </cell>
          <cell r="U130">
            <v>6430</v>
          </cell>
          <cell r="V130">
            <v>19726.106</v>
          </cell>
          <cell r="W130">
            <v>11413</v>
          </cell>
          <cell r="X130">
            <v>24553.987999999998</v>
          </cell>
          <cell r="Y130">
            <v>850</v>
          </cell>
          <cell r="Z130">
            <v>2175.777</v>
          </cell>
          <cell r="AA130">
            <v>405</v>
          </cell>
          <cell r="AB130">
            <v>1257.5050000000001</v>
          </cell>
          <cell r="AC130" t="e">
            <v>#REF!</v>
          </cell>
        </row>
        <row r="131">
          <cell r="A131" t="str">
            <v>14151147</v>
          </cell>
          <cell r="B131" t="str">
            <v>주식회사 신진켐</v>
          </cell>
          <cell r="C131">
            <v>57987</v>
          </cell>
          <cell r="D131">
            <v>191138.592</v>
          </cell>
          <cell r="E131">
            <v>2705</v>
          </cell>
          <cell r="F131">
            <v>11400.441000000001</v>
          </cell>
          <cell r="G131">
            <v>3160</v>
          </cell>
          <cell r="H131">
            <v>11523.81</v>
          </cell>
          <cell r="I131">
            <v>3538</v>
          </cell>
          <cell r="J131">
            <v>12722.351999999999</v>
          </cell>
          <cell r="K131">
            <v>7482</v>
          </cell>
          <cell r="L131">
            <v>19410.474999999995</v>
          </cell>
          <cell r="M131">
            <v>3650</v>
          </cell>
          <cell r="N131">
            <v>15962.216</v>
          </cell>
          <cell r="O131">
            <v>9039</v>
          </cell>
          <cell r="P131">
            <v>26636.624999999996</v>
          </cell>
          <cell r="Q131">
            <v>4771</v>
          </cell>
          <cell r="R131">
            <v>16094.38</v>
          </cell>
          <cell r="S131">
            <v>7400</v>
          </cell>
          <cell r="T131">
            <v>18629.308000000001</v>
          </cell>
          <cell r="U131">
            <v>5968</v>
          </cell>
          <cell r="V131">
            <v>19878.352000000003</v>
          </cell>
          <cell r="W131">
            <v>2837</v>
          </cell>
          <cell r="X131">
            <v>11285.773999999998</v>
          </cell>
          <cell r="Y131">
            <v>4702</v>
          </cell>
          <cell r="Z131">
            <v>15805.069000000001</v>
          </cell>
          <cell r="AA131">
            <v>2742</v>
          </cell>
          <cell r="AB131">
            <v>11789.79</v>
          </cell>
          <cell r="AC131" t="e">
            <v>#REF!</v>
          </cell>
        </row>
        <row r="132">
          <cell r="A132" t="str">
            <v>14151178</v>
          </cell>
          <cell r="B132" t="str">
            <v>주식회사 신진켐</v>
          </cell>
          <cell r="C132">
            <v>190261</v>
          </cell>
          <cell r="D132">
            <v>917298.13499999989</v>
          </cell>
          <cell r="E132">
            <v>17802</v>
          </cell>
          <cell r="F132">
            <v>82753.507999999987</v>
          </cell>
          <cell r="G132">
            <v>11113</v>
          </cell>
          <cell r="H132">
            <v>53474.273000000001</v>
          </cell>
          <cell r="I132">
            <v>15792</v>
          </cell>
          <cell r="J132">
            <v>77050.748999999996</v>
          </cell>
          <cell r="K132">
            <v>13102</v>
          </cell>
          <cell r="L132">
            <v>64250.513999999996</v>
          </cell>
          <cell r="M132">
            <v>13456</v>
          </cell>
          <cell r="N132">
            <v>65935.944000000003</v>
          </cell>
          <cell r="O132">
            <v>11934</v>
          </cell>
          <cell r="P132">
            <v>57852.88</v>
          </cell>
          <cell r="Q132">
            <v>17482</v>
          </cell>
          <cell r="R132">
            <v>84720.264999999999</v>
          </cell>
          <cell r="S132">
            <v>14392</v>
          </cell>
          <cell r="T132">
            <v>67196.577999999994</v>
          </cell>
          <cell r="U132">
            <v>16608</v>
          </cell>
          <cell r="V132">
            <v>77290.240000000005</v>
          </cell>
          <cell r="W132">
            <v>17213</v>
          </cell>
          <cell r="X132">
            <v>86061.093000000008</v>
          </cell>
          <cell r="Y132">
            <v>22221</v>
          </cell>
          <cell r="Z132">
            <v>107512.768</v>
          </cell>
          <cell r="AA132">
            <v>19143</v>
          </cell>
          <cell r="AB132">
            <v>93199.323000000004</v>
          </cell>
          <cell r="AC132" t="e">
            <v>#REF!</v>
          </cell>
        </row>
        <row r="133">
          <cell r="A133" t="str">
            <v>27387245</v>
          </cell>
          <cell r="B133" t="str">
            <v>주식회사덕송</v>
          </cell>
          <cell r="C133">
            <v>88549</v>
          </cell>
          <cell r="D133">
            <v>241846.97800000006</v>
          </cell>
          <cell r="E133">
            <v>3653</v>
          </cell>
          <cell r="F133">
            <v>10578.634</v>
          </cell>
          <cell r="G133">
            <v>3339</v>
          </cell>
          <cell r="H133">
            <v>8211.393</v>
          </cell>
          <cell r="I133">
            <v>5321</v>
          </cell>
          <cell r="J133">
            <v>13229.449000000001</v>
          </cell>
          <cell r="K133">
            <v>7546</v>
          </cell>
          <cell r="L133">
            <v>20868.797999999995</v>
          </cell>
          <cell r="M133">
            <v>5671</v>
          </cell>
          <cell r="N133">
            <v>17661.470999999998</v>
          </cell>
          <cell r="O133">
            <v>11073</v>
          </cell>
          <cell r="P133">
            <v>34908.402999999991</v>
          </cell>
          <cell r="Q133">
            <v>6916</v>
          </cell>
          <cell r="R133">
            <v>19357.764999999999</v>
          </cell>
          <cell r="S133">
            <v>11261</v>
          </cell>
          <cell r="T133">
            <v>25013.604999999996</v>
          </cell>
          <cell r="U133">
            <v>8437</v>
          </cell>
          <cell r="V133">
            <v>22104.238999999998</v>
          </cell>
          <cell r="W133">
            <v>10586</v>
          </cell>
          <cell r="X133">
            <v>25899.457000000006</v>
          </cell>
          <cell r="Y133">
            <v>8639</v>
          </cell>
          <cell r="Z133">
            <v>24856.153000000002</v>
          </cell>
          <cell r="AA133">
            <v>6112</v>
          </cell>
          <cell r="AB133">
            <v>19157.611000000004</v>
          </cell>
          <cell r="AC133" t="e">
            <v>#REF!</v>
          </cell>
        </row>
        <row r="134">
          <cell r="A134" t="str">
            <v>35010648</v>
          </cell>
          <cell r="B134" t="str">
            <v>주신기업</v>
          </cell>
          <cell r="C134">
            <v>22462</v>
          </cell>
          <cell r="D134">
            <v>126166.421</v>
          </cell>
          <cell r="E134">
            <v>1223</v>
          </cell>
          <cell r="F134">
            <v>7600.5669999999991</v>
          </cell>
          <cell r="G134">
            <v>1536</v>
          </cell>
          <cell r="H134">
            <v>8791.4890000000014</v>
          </cell>
          <cell r="I134">
            <v>1992</v>
          </cell>
          <cell r="J134">
            <v>11289.17</v>
          </cell>
          <cell r="K134">
            <v>1644</v>
          </cell>
          <cell r="L134">
            <v>9814.9809999999998</v>
          </cell>
          <cell r="M134">
            <v>1546</v>
          </cell>
          <cell r="N134">
            <v>9674.0779999999977</v>
          </cell>
          <cell r="O134">
            <v>1722</v>
          </cell>
          <cell r="P134">
            <v>10611.575000000001</v>
          </cell>
          <cell r="Q134">
            <v>2273</v>
          </cell>
          <cell r="R134">
            <v>11250.870999999999</v>
          </cell>
          <cell r="S134">
            <v>2190</v>
          </cell>
          <cell r="T134">
            <v>11938.983</v>
          </cell>
          <cell r="U134">
            <v>2231</v>
          </cell>
          <cell r="V134">
            <v>11436.086999999998</v>
          </cell>
          <cell r="W134">
            <v>1812</v>
          </cell>
          <cell r="X134">
            <v>11175.078</v>
          </cell>
          <cell r="Y134">
            <v>2380</v>
          </cell>
          <cell r="Z134">
            <v>13000.437</v>
          </cell>
          <cell r="AA134">
            <v>1916</v>
          </cell>
          <cell r="AB134">
            <v>9583.1049999999977</v>
          </cell>
          <cell r="AC134" t="e">
            <v>#REF!</v>
          </cell>
        </row>
        <row r="135">
          <cell r="A135" t="str">
            <v>30779678</v>
          </cell>
          <cell r="B135" t="str">
            <v>진성케미칼</v>
          </cell>
          <cell r="C135">
            <v>9308</v>
          </cell>
          <cell r="D135">
            <v>42503.632000000005</v>
          </cell>
          <cell r="E135">
            <v>989</v>
          </cell>
          <cell r="F135">
            <v>4323.973</v>
          </cell>
          <cell r="G135">
            <v>406</v>
          </cell>
          <cell r="H135">
            <v>1898.0569999999998</v>
          </cell>
          <cell r="I135">
            <v>537</v>
          </cell>
          <cell r="J135">
            <v>2448.0140000000001</v>
          </cell>
          <cell r="K135">
            <v>989</v>
          </cell>
          <cell r="L135">
            <v>4424.2820000000002</v>
          </cell>
          <cell r="M135">
            <v>656</v>
          </cell>
          <cell r="N135">
            <v>3377.3429999999998</v>
          </cell>
          <cell r="O135">
            <v>959</v>
          </cell>
          <cell r="P135">
            <v>4514.9399999999996</v>
          </cell>
          <cell r="Q135">
            <v>859</v>
          </cell>
          <cell r="R135">
            <v>3886.9089999999997</v>
          </cell>
          <cell r="S135">
            <v>739</v>
          </cell>
          <cell r="T135">
            <v>3280.54</v>
          </cell>
          <cell r="U135">
            <v>1145</v>
          </cell>
          <cell r="V135">
            <v>5322.31</v>
          </cell>
          <cell r="W135">
            <v>728</v>
          </cell>
          <cell r="X135">
            <v>3066.5820000000003</v>
          </cell>
          <cell r="Y135">
            <v>937</v>
          </cell>
          <cell r="Z135">
            <v>4208.5619999999999</v>
          </cell>
          <cell r="AA135">
            <v>366</v>
          </cell>
          <cell r="AB135">
            <v>1752.12</v>
          </cell>
          <cell r="AC135" t="e">
            <v>#REF!</v>
          </cell>
        </row>
        <row r="136">
          <cell r="A136" t="str">
            <v>25523245</v>
          </cell>
          <cell r="B136" t="str">
            <v>창성개발(주)</v>
          </cell>
          <cell r="C136">
            <v>175694</v>
          </cell>
          <cell r="D136">
            <v>326219.78999999998</v>
          </cell>
          <cell r="E136">
            <v>92</v>
          </cell>
          <cell r="F136">
            <v>636.63299999999992</v>
          </cell>
          <cell r="G136">
            <v>21</v>
          </cell>
          <cell r="H136">
            <v>83.802999999999997</v>
          </cell>
          <cell r="I136">
            <v>7503</v>
          </cell>
          <cell r="J136">
            <v>15431.411</v>
          </cell>
          <cell r="K136">
            <v>10190</v>
          </cell>
          <cell r="L136">
            <v>17894.632999999994</v>
          </cell>
          <cell r="M136">
            <v>25439</v>
          </cell>
          <cell r="N136">
            <v>46307.962000000007</v>
          </cell>
          <cell r="O136">
            <v>44984</v>
          </cell>
          <cell r="P136">
            <v>69087.27900000001</v>
          </cell>
          <cell r="Q136">
            <v>1212</v>
          </cell>
          <cell r="R136">
            <v>3246.4410000000003</v>
          </cell>
          <cell r="S136">
            <v>847</v>
          </cell>
          <cell r="T136">
            <v>1748.136</v>
          </cell>
          <cell r="U136">
            <v>41496</v>
          </cell>
          <cell r="V136">
            <v>78436.297000000006</v>
          </cell>
          <cell r="W136">
            <v>24365</v>
          </cell>
          <cell r="X136">
            <v>44360.392999999989</v>
          </cell>
          <cell r="Y136">
            <v>16706</v>
          </cell>
          <cell r="Z136">
            <v>40766.862999999998</v>
          </cell>
          <cell r="AA136">
            <v>2835</v>
          </cell>
          <cell r="AB136">
            <v>8219.9390000000003</v>
          </cell>
          <cell r="AC136" t="e">
            <v>#REF!</v>
          </cell>
        </row>
        <row r="137">
          <cell r="A137" t="str">
            <v>01161545</v>
          </cell>
          <cell r="B137" t="str">
            <v>천일상사</v>
          </cell>
          <cell r="C137">
            <v>7682</v>
          </cell>
          <cell r="D137">
            <v>33787.02199999999</v>
          </cell>
          <cell r="E137">
            <v>1005</v>
          </cell>
          <cell r="F137">
            <v>4682.7789999999995</v>
          </cell>
          <cell r="G137">
            <v>1709</v>
          </cell>
          <cell r="H137">
            <v>7210.3159999999998</v>
          </cell>
          <cell r="I137">
            <v>608</v>
          </cell>
          <cell r="J137">
            <v>3078.1549999999997</v>
          </cell>
          <cell r="K137">
            <v>0</v>
          </cell>
          <cell r="L137">
            <v>0</v>
          </cell>
          <cell r="M137">
            <v>281</v>
          </cell>
          <cell r="N137">
            <v>854.73800000000006</v>
          </cell>
          <cell r="O137">
            <v>206</v>
          </cell>
          <cell r="P137">
            <v>626.01499999999999</v>
          </cell>
          <cell r="Q137">
            <v>947</v>
          </cell>
          <cell r="R137">
            <v>4003.4749999999999</v>
          </cell>
          <cell r="S137">
            <v>526</v>
          </cell>
          <cell r="T137">
            <v>2271.8000000000002</v>
          </cell>
          <cell r="U137">
            <v>727</v>
          </cell>
          <cell r="V137">
            <v>3100.4649999999997</v>
          </cell>
          <cell r="W137">
            <v>706</v>
          </cell>
          <cell r="X137">
            <v>3439.6160000000004</v>
          </cell>
          <cell r="Y137">
            <v>551</v>
          </cell>
          <cell r="Z137">
            <v>2687.6350000000002</v>
          </cell>
          <cell r="AA137">
            <v>419</v>
          </cell>
          <cell r="AB137">
            <v>1832.0279999999998</v>
          </cell>
          <cell r="AC137" t="e">
            <v>#REF!</v>
          </cell>
        </row>
        <row r="138">
          <cell r="A138" t="str">
            <v>14224647</v>
          </cell>
          <cell r="B138" t="str">
            <v>청용상사</v>
          </cell>
          <cell r="C138">
            <v>15890</v>
          </cell>
          <cell r="D138">
            <v>32550.076000000001</v>
          </cell>
          <cell r="E138">
            <v>274</v>
          </cell>
          <cell r="F138">
            <v>717.298</v>
          </cell>
          <cell r="G138">
            <v>529</v>
          </cell>
          <cell r="H138">
            <v>259.18299999999999</v>
          </cell>
          <cell r="I138">
            <v>537</v>
          </cell>
          <cell r="J138">
            <v>1298.5899999999999</v>
          </cell>
          <cell r="K138">
            <v>1168</v>
          </cell>
          <cell r="L138">
            <v>2745.8779999999997</v>
          </cell>
          <cell r="M138">
            <v>457</v>
          </cell>
          <cell r="N138">
            <v>1071.67</v>
          </cell>
          <cell r="O138">
            <v>1728</v>
          </cell>
          <cell r="P138">
            <v>3485.6929999999998</v>
          </cell>
          <cell r="Q138">
            <v>5190</v>
          </cell>
          <cell r="R138">
            <v>7271.4360000000006</v>
          </cell>
          <cell r="S138">
            <v>1327</v>
          </cell>
          <cell r="T138">
            <v>3336.2339999999999</v>
          </cell>
          <cell r="U138">
            <v>1941</v>
          </cell>
          <cell r="V138">
            <v>4705.8720000000003</v>
          </cell>
          <cell r="W138">
            <v>834</v>
          </cell>
          <cell r="X138">
            <v>2508.7139999999999</v>
          </cell>
          <cell r="Y138">
            <v>1460</v>
          </cell>
          <cell r="Z138">
            <v>3906.4929999999995</v>
          </cell>
          <cell r="AA138">
            <v>443</v>
          </cell>
          <cell r="AB138">
            <v>1243.0150000000001</v>
          </cell>
          <cell r="AC138" t="e">
            <v>#REF!</v>
          </cell>
        </row>
        <row r="139">
          <cell r="A139" t="str">
            <v>32958847</v>
          </cell>
          <cell r="B139" t="str">
            <v>코끼리</v>
          </cell>
          <cell r="C139">
            <v>22724</v>
          </cell>
          <cell r="D139">
            <v>63448.727999999996</v>
          </cell>
          <cell r="E139">
            <v>693</v>
          </cell>
          <cell r="F139">
            <v>1499.4120000000003</v>
          </cell>
          <cell r="G139">
            <v>1141</v>
          </cell>
          <cell r="H139">
            <v>3848.9360000000006</v>
          </cell>
          <cell r="I139">
            <v>1824</v>
          </cell>
          <cell r="J139">
            <v>3813.4640000000004</v>
          </cell>
          <cell r="K139">
            <v>2439</v>
          </cell>
          <cell r="L139">
            <v>7061.0770000000002</v>
          </cell>
          <cell r="M139">
            <v>957</v>
          </cell>
          <cell r="N139">
            <v>2509.8590000000004</v>
          </cell>
          <cell r="O139">
            <v>1875</v>
          </cell>
          <cell r="P139">
            <v>4719.7690000000002</v>
          </cell>
          <cell r="Q139">
            <v>696</v>
          </cell>
          <cell r="R139">
            <v>2084.527</v>
          </cell>
          <cell r="S139">
            <v>1315</v>
          </cell>
          <cell r="T139">
            <v>4155.6149999999998</v>
          </cell>
          <cell r="U139">
            <v>4129</v>
          </cell>
          <cell r="V139">
            <v>10774.676999999998</v>
          </cell>
          <cell r="W139">
            <v>3205</v>
          </cell>
          <cell r="X139">
            <v>9777.5110000000004</v>
          </cell>
          <cell r="Y139">
            <v>3613</v>
          </cell>
          <cell r="Z139">
            <v>10252.172</v>
          </cell>
          <cell r="AA139">
            <v>842</v>
          </cell>
          <cell r="AB139">
            <v>2951.7090000000003</v>
          </cell>
          <cell r="AC139" t="e">
            <v>#REF!</v>
          </cell>
        </row>
        <row r="140">
          <cell r="A140" t="str">
            <v>01168178</v>
          </cell>
          <cell r="B140" t="str">
            <v>태경</v>
          </cell>
          <cell r="C140">
            <v>25491</v>
          </cell>
          <cell r="D140">
            <v>134688.26200000002</v>
          </cell>
          <cell r="E140">
            <v>1671</v>
          </cell>
          <cell r="F140">
            <v>8254.0059999999994</v>
          </cell>
          <cell r="G140">
            <v>2174</v>
          </cell>
          <cell r="H140">
            <v>10571.782999999999</v>
          </cell>
          <cell r="I140">
            <v>2522</v>
          </cell>
          <cell r="J140">
            <v>13336.875000000002</v>
          </cell>
          <cell r="K140">
            <v>2346</v>
          </cell>
          <cell r="L140">
            <v>11746.4</v>
          </cell>
          <cell r="M140">
            <v>1947</v>
          </cell>
          <cell r="N140">
            <v>10570.735000000001</v>
          </cell>
          <cell r="O140">
            <v>1966</v>
          </cell>
          <cell r="P140">
            <v>10440.520999999999</v>
          </cell>
          <cell r="Q140">
            <v>2138</v>
          </cell>
          <cell r="R140">
            <v>11945.546999999999</v>
          </cell>
          <cell r="S140">
            <v>1985</v>
          </cell>
          <cell r="T140">
            <v>11725.548000000001</v>
          </cell>
          <cell r="U140">
            <v>2311</v>
          </cell>
          <cell r="V140">
            <v>12696.477000000001</v>
          </cell>
          <cell r="W140">
            <v>2311</v>
          </cell>
          <cell r="X140">
            <v>12101.911</v>
          </cell>
          <cell r="Y140">
            <v>2705</v>
          </cell>
          <cell r="Z140">
            <v>14993.611000000001</v>
          </cell>
          <cell r="AA140">
            <v>1417</v>
          </cell>
          <cell r="AB140">
            <v>6304.848</v>
          </cell>
          <cell r="AC140" t="e">
            <v>#REF!</v>
          </cell>
        </row>
        <row r="141">
          <cell r="A141" t="str">
            <v>01169347</v>
          </cell>
          <cell r="B141" t="str">
            <v>태경상사</v>
          </cell>
          <cell r="C141">
            <v>83665</v>
          </cell>
          <cell r="D141">
            <v>277422.36799999996</v>
          </cell>
          <cell r="E141">
            <v>2910</v>
          </cell>
          <cell r="F141">
            <v>12804.758</v>
          </cell>
          <cell r="G141">
            <v>3269</v>
          </cell>
          <cell r="H141">
            <v>13398.514999999999</v>
          </cell>
          <cell r="I141">
            <v>6709</v>
          </cell>
          <cell r="J141">
            <v>24046.484999999993</v>
          </cell>
          <cell r="K141">
            <v>5485</v>
          </cell>
          <cell r="L141">
            <v>16619.802000000003</v>
          </cell>
          <cell r="M141">
            <v>10464</v>
          </cell>
          <cell r="N141">
            <v>32645.147000000001</v>
          </cell>
          <cell r="O141">
            <v>6028</v>
          </cell>
          <cell r="P141">
            <v>23290.739000000005</v>
          </cell>
          <cell r="Q141">
            <v>9328</v>
          </cell>
          <cell r="R141">
            <v>30245.016000000007</v>
          </cell>
          <cell r="S141">
            <v>11471</v>
          </cell>
          <cell r="T141">
            <v>29548.611000000008</v>
          </cell>
          <cell r="U141">
            <v>6828</v>
          </cell>
          <cell r="V141">
            <v>22703.724000000002</v>
          </cell>
          <cell r="W141">
            <v>8551</v>
          </cell>
          <cell r="X141">
            <v>28760.97</v>
          </cell>
          <cell r="Y141">
            <v>8624</v>
          </cell>
          <cell r="Z141">
            <v>27018.537</v>
          </cell>
          <cell r="AA141">
            <v>3991</v>
          </cell>
          <cell r="AB141">
            <v>16340.064</v>
          </cell>
          <cell r="AC141" t="e">
            <v>#REF!</v>
          </cell>
        </row>
        <row r="142">
          <cell r="A142" t="str">
            <v>39633345</v>
          </cell>
          <cell r="B142" t="str">
            <v>태림썬(주)</v>
          </cell>
          <cell r="C142">
            <v>832</v>
          </cell>
          <cell r="D142">
            <v>3436.25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832</v>
          </cell>
          <cell r="P142">
            <v>3436.25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 t="e">
            <v>#REF!</v>
          </cell>
        </row>
        <row r="143">
          <cell r="A143" t="str">
            <v>30007545</v>
          </cell>
          <cell r="B143" t="str">
            <v>태성건업</v>
          </cell>
          <cell r="C143">
            <v>10473</v>
          </cell>
          <cell r="D143">
            <v>26094.145999999997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9002</v>
          </cell>
          <cell r="L143">
            <v>22243.261999999999</v>
          </cell>
          <cell r="M143">
            <v>214</v>
          </cell>
          <cell r="N143">
            <v>498.11799999999994</v>
          </cell>
          <cell r="O143">
            <v>336</v>
          </cell>
          <cell r="P143">
            <v>944.91599999999994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484</v>
          </cell>
          <cell r="V143">
            <v>1223.6759999999999</v>
          </cell>
          <cell r="W143">
            <v>437</v>
          </cell>
          <cell r="X143">
            <v>1184.174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 t="e">
            <v>#REF!</v>
          </cell>
        </row>
        <row r="144">
          <cell r="A144" t="str">
            <v>50716647</v>
          </cell>
          <cell r="B144" t="str">
            <v>태양케미칼</v>
          </cell>
          <cell r="C144">
            <v>4387</v>
          </cell>
          <cell r="D144">
            <v>11478.85</v>
          </cell>
          <cell r="E144">
            <v>0</v>
          </cell>
          <cell r="F144">
            <v>0</v>
          </cell>
          <cell r="G144">
            <v>139</v>
          </cell>
          <cell r="H144">
            <v>395.91699999999997</v>
          </cell>
          <cell r="I144">
            <v>564</v>
          </cell>
          <cell r="J144">
            <v>1309.172</v>
          </cell>
          <cell r="K144">
            <v>0</v>
          </cell>
          <cell r="L144">
            <v>0</v>
          </cell>
          <cell r="M144">
            <v>1323</v>
          </cell>
          <cell r="N144">
            <v>3934.3909999999996</v>
          </cell>
          <cell r="O144">
            <v>65</v>
          </cell>
          <cell r="P144">
            <v>251.82300000000001</v>
          </cell>
          <cell r="Q144">
            <v>457</v>
          </cell>
          <cell r="R144">
            <v>1109.4849999999999</v>
          </cell>
          <cell r="S144">
            <v>382</v>
          </cell>
          <cell r="T144">
            <v>1226.4109999999998</v>
          </cell>
          <cell r="U144">
            <v>338</v>
          </cell>
          <cell r="V144">
            <v>1093.5210000000002</v>
          </cell>
          <cell r="W144">
            <v>884</v>
          </cell>
          <cell r="X144">
            <v>1649.5359999999998</v>
          </cell>
          <cell r="Y144">
            <v>137</v>
          </cell>
          <cell r="Z144">
            <v>194.17599999999999</v>
          </cell>
          <cell r="AA144">
            <v>100</v>
          </cell>
          <cell r="AB144">
            <v>314.41800000000001</v>
          </cell>
          <cell r="AC144" t="e">
            <v>#REF!</v>
          </cell>
        </row>
        <row r="145">
          <cell r="A145" t="str">
            <v>02349345</v>
          </cell>
          <cell r="B145" t="str">
            <v>태영도장건설(주)</v>
          </cell>
          <cell r="C145">
            <v>13295</v>
          </cell>
          <cell r="D145">
            <v>24600.258999999998</v>
          </cell>
          <cell r="E145">
            <v>223</v>
          </cell>
          <cell r="F145">
            <v>419.99699999999996</v>
          </cell>
          <cell r="G145">
            <v>2184</v>
          </cell>
          <cell r="H145">
            <v>1803.7</v>
          </cell>
          <cell r="I145">
            <v>3484</v>
          </cell>
          <cell r="J145">
            <v>4294.7690000000002</v>
          </cell>
          <cell r="K145">
            <v>1666</v>
          </cell>
          <cell r="L145">
            <v>1660.8890000000001</v>
          </cell>
          <cell r="M145">
            <v>2175</v>
          </cell>
          <cell r="N145">
            <v>3313.2729999999997</v>
          </cell>
          <cell r="O145">
            <v>986</v>
          </cell>
          <cell r="P145">
            <v>2043.7909999999999</v>
          </cell>
          <cell r="Q145">
            <v>75</v>
          </cell>
          <cell r="R145">
            <v>152.161</v>
          </cell>
          <cell r="S145">
            <v>348</v>
          </cell>
          <cell r="T145">
            <v>1417.316</v>
          </cell>
          <cell r="U145">
            <v>320</v>
          </cell>
          <cell r="V145">
            <v>1192.895</v>
          </cell>
          <cell r="W145">
            <v>1189</v>
          </cell>
          <cell r="X145">
            <v>5052.4980000000005</v>
          </cell>
          <cell r="Y145">
            <v>585</v>
          </cell>
          <cell r="Z145">
            <v>2905.0389999999998</v>
          </cell>
          <cell r="AA145">
            <v>62</v>
          </cell>
          <cell r="AB145">
            <v>343.93099999999998</v>
          </cell>
          <cell r="AC145" t="e">
            <v>#REF!</v>
          </cell>
        </row>
        <row r="146">
          <cell r="A146" t="str">
            <v>51474647</v>
          </cell>
          <cell r="B146" t="str">
            <v>태흥상사</v>
          </cell>
          <cell r="C146">
            <v>245</v>
          </cell>
          <cell r="D146">
            <v>619.04899999999998</v>
          </cell>
          <cell r="E146">
            <v>136</v>
          </cell>
          <cell r="F146">
            <v>340.12099999999998</v>
          </cell>
          <cell r="G146">
            <v>106</v>
          </cell>
          <cell r="H146">
            <v>268.25700000000001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4</v>
          </cell>
          <cell r="N146">
            <v>10.670999999999999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 t="e">
            <v>#REF!</v>
          </cell>
        </row>
        <row r="147">
          <cell r="A147" t="str">
            <v>52576748</v>
          </cell>
          <cell r="B147" t="str">
            <v>페인트코리아</v>
          </cell>
          <cell r="C147">
            <v>58863</v>
          </cell>
          <cell r="D147">
            <v>298376.19299999991</v>
          </cell>
          <cell r="E147">
            <v>2515</v>
          </cell>
          <cell r="F147">
            <v>15774.995999999999</v>
          </cell>
          <cell r="G147">
            <v>2561</v>
          </cell>
          <cell r="H147">
            <v>17375.260999999999</v>
          </cell>
          <cell r="I147">
            <v>9868</v>
          </cell>
          <cell r="J147">
            <v>38705.557999999997</v>
          </cell>
          <cell r="K147">
            <v>4793</v>
          </cell>
          <cell r="L147">
            <v>26781.435000000001</v>
          </cell>
          <cell r="M147">
            <v>6854</v>
          </cell>
          <cell r="N147">
            <v>30071.201000000005</v>
          </cell>
          <cell r="O147">
            <v>8006</v>
          </cell>
          <cell r="P147">
            <v>31538.77</v>
          </cell>
          <cell r="Q147">
            <v>2167</v>
          </cell>
          <cell r="R147">
            <v>17557.691999999999</v>
          </cell>
          <cell r="S147">
            <v>2101</v>
          </cell>
          <cell r="T147">
            <v>18466.240000000002</v>
          </cell>
          <cell r="U147">
            <v>2305</v>
          </cell>
          <cell r="V147">
            <v>18678.207999999999</v>
          </cell>
          <cell r="W147">
            <v>8441</v>
          </cell>
          <cell r="X147">
            <v>33729.699999999997</v>
          </cell>
          <cell r="Y147">
            <v>6040</v>
          </cell>
          <cell r="Z147">
            <v>31303.33</v>
          </cell>
          <cell r="AA147">
            <v>3217</v>
          </cell>
          <cell r="AB147">
            <v>18393.801999999996</v>
          </cell>
          <cell r="AC147" t="e">
            <v>#REF!</v>
          </cell>
        </row>
        <row r="148">
          <cell r="A148" t="str">
            <v>01588845</v>
          </cell>
          <cell r="B148" t="str">
            <v>한국건설산업(주)</v>
          </cell>
          <cell r="C148">
            <v>19700</v>
          </cell>
          <cell r="D148">
            <v>31874.072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553</v>
          </cell>
          <cell r="T148">
            <v>1391.6020000000001</v>
          </cell>
          <cell r="U148">
            <v>0</v>
          </cell>
          <cell r="V148">
            <v>0</v>
          </cell>
          <cell r="W148">
            <v>11030</v>
          </cell>
          <cell r="X148">
            <v>16507.824000000001</v>
          </cell>
          <cell r="Y148">
            <v>7454</v>
          </cell>
          <cell r="Z148">
            <v>12285.615</v>
          </cell>
          <cell r="AA148">
            <v>664</v>
          </cell>
          <cell r="AB148">
            <v>1689.0309999999999</v>
          </cell>
          <cell r="AC148" t="e">
            <v>#REF!</v>
          </cell>
        </row>
        <row r="149">
          <cell r="A149" t="str">
            <v>44776447</v>
          </cell>
          <cell r="B149" t="str">
            <v>한국도료산업</v>
          </cell>
          <cell r="C149">
            <v>33595</v>
          </cell>
          <cell r="D149">
            <v>116969.925</v>
          </cell>
          <cell r="E149">
            <v>1449</v>
          </cell>
          <cell r="F149">
            <v>5768.4010000000007</v>
          </cell>
          <cell r="G149">
            <v>1408</v>
          </cell>
          <cell r="H149">
            <v>4036.9969999999998</v>
          </cell>
          <cell r="I149">
            <v>2317</v>
          </cell>
          <cell r="J149">
            <v>7755.5290000000005</v>
          </cell>
          <cell r="K149">
            <v>1407</v>
          </cell>
          <cell r="L149">
            <v>5198.8359999999984</v>
          </cell>
          <cell r="M149">
            <v>2664</v>
          </cell>
          <cell r="N149">
            <v>9832.8960000000025</v>
          </cell>
          <cell r="O149">
            <v>2071</v>
          </cell>
          <cell r="P149">
            <v>9707.6440000000002</v>
          </cell>
          <cell r="Q149">
            <v>3606</v>
          </cell>
          <cell r="R149">
            <v>19322.555</v>
          </cell>
          <cell r="S149">
            <v>3222</v>
          </cell>
          <cell r="T149">
            <v>12321.111999999999</v>
          </cell>
          <cell r="U149">
            <v>2467</v>
          </cell>
          <cell r="V149">
            <v>6575.2479999999987</v>
          </cell>
          <cell r="W149">
            <v>7457</v>
          </cell>
          <cell r="X149">
            <v>19357.589</v>
          </cell>
          <cell r="Y149">
            <v>5060</v>
          </cell>
          <cell r="Z149">
            <v>15162.306</v>
          </cell>
          <cell r="AA149">
            <v>462</v>
          </cell>
          <cell r="AB149">
            <v>1930.8119999999999</v>
          </cell>
          <cell r="AC149" t="e">
            <v>#REF!</v>
          </cell>
        </row>
        <row r="150">
          <cell r="A150" t="str">
            <v>42992947</v>
          </cell>
          <cell r="B150" t="str">
            <v>한국칼라디자인기술(주)</v>
          </cell>
          <cell r="C150">
            <v>115438</v>
          </cell>
          <cell r="D150">
            <v>582336.32200000004</v>
          </cell>
          <cell r="E150">
            <v>9964</v>
          </cell>
          <cell r="F150">
            <v>53174.582000000009</v>
          </cell>
          <cell r="G150">
            <v>8870</v>
          </cell>
          <cell r="H150">
            <v>49369.025999999998</v>
          </cell>
          <cell r="I150">
            <v>10335</v>
          </cell>
          <cell r="J150">
            <v>57592.428000000007</v>
          </cell>
          <cell r="K150">
            <v>10455</v>
          </cell>
          <cell r="L150">
            <v>48427.44</v>
          </cell>
          <cell r="M150">
            <v>10176</v>
          </cell>
          <cell r="N150">
            <v>52075.11</v>
          </cell>
          <cell r="O150">
            <v>7783</v>
          </cell>
          <cell r="P150">
            <v>34361.620999999999</v>
          </cell>
          <cell r="Q150">
            <v>10899</v>
          </cell>
          <cell r="R150">
            <v>53280.057000000001</v>
          </cell>
          <cell r="S150">
            <v>7946</v>
          </cell>
          <cell r="T150">
            <v>45051.192000000003</v>
          </cell>
          <cell r="U150">
            <v>7722</v>
          </cell>
          <cell r="V150">
            <v>38620.81500000001</v>
          </cell>
          <cell r="W150">
            <v>9413</v>
          </cell>
          <cell r="X150">
            <v>46342.948000000004</v>
          </cell>
          <cell r="Y150">
            <v>9594</v>
          </cell>
          <cell r="Z150">
            <v>48570.150999999998</v>
          </cell>
          <cell r="AA150">
            <v>12276</v>
          </cell>
          <cell r="AB150">
            <v>55470.951999999997</v>
          </cell>
          <cell r="AC150" t="e">
            <v>#REF!</v>
          </cell>
        </row>
        <row r="151">
          <cell r="A151" t="str">
            <v>01596873</v>
          </cell>
          <cell r="B151" t="str">
            <v>한양기업(주)</v>
          </cell>
          <cell r="C151">
            <v>1522</v>
          </cell>
          <cell r="D151">
            <v>7633.6390000000001</v>
          </cell>
          <cell r="E151">
            <v>110</v>
          </cell>
          <cell r="F151">
            <v>726.18299999999999</v>
          </cell>
          <cell r="G151">
            <v>171</v>
          </cell>
          <cell r="H151">
            <v>1017.462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39</v>
          </cell>
          <cell r="N151">
            <v>239.36</v>
          </cell>
          <cell r="O151">
            <v>111</v>
          </cell>
          <cell r="P151">
            <v>747.41099999999994</v>
          </cell>
          <cell r="Q151">
            <v>0</v>
          </cell>
          <cell r="R151">
            <v>0</v>
          </cell>
          <cell r="S151">
            <v>63</v>
          </cell>
          <cell r="T151">
            <v>433.072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1029</v>
          </cell>
          <cell r="Z151">
            <v>4470.1509999999998</v>
          </cell>
          <cell r="AA151">
            <v>0</v>
          </cell>
          <cell r="AB151">
            <v>0</v>
          </cell>
          <cell r="AC151" t="e">
            <v>#REF!</v>
          </cell>
        </row>
        <row r="152">
          <cell r="A152" t="str">
            <v>37296847</v>
          </cell>
          <cell r="B152" t="str">
            <v>한양상사</v>
          </cell>
          <cell r="C152">
            <v>45357</v>
          </cell>
          <cell r="D152">
            <v>109396.92600000001</v>
          </cell>
          <cell r="E152">
            <v>191</v>
          </cell>
          <cell r="F152">
            <v>821.04</v>
          </cell>
          <cell r="G152">
            <v>2796</v>
          </cell>
          <cell r="H152">
            <v>6281.0389999999998</v>
          </cell>
          <cell r="I152">
            <v>1948</v>
          </cell>
          <cell r="J152">
            <v>7260.3170000000009</v>
          </cell>
          <cell r="K152">
            <v>6755</v>
          </cell>
          <cell r="L152">
            <v>17257.077000000001</v>
          </cell>
          <cell r="M152">
            <v>3148</v>
          </cell>
          <cell r="N152">
            <v>7635.7169999999996</v>
          </cell>
          <cell r="O152">
            <v>4126</v>
          </cell>
          <cell r="P152">
            <v>9756.5990000000002</v>
          </cell>
          <cell r="Q152">
            <v>99</v>
          </cell>
          <cell r="R152">
            <v>499.17</v>
          </cell>
          <cell r="S152">
            <v>3581</v>
          </cell>
          <cell r="T152">
            <v>8307.24</v>
          </cell>
          <cell r="U152">
            <v>6534</v>
          </cell>
          <cell r="V152">
            <v>14787.338</v>
          </cell>
          <cell r="W152">
            <v>7786</v>
          </cell>
          <cell r="X152">
            <v>18127.028000000002</v>
          </cell>
          <cell r="Y152">
            <v>7414</v>
          </cell>
          <cell r="Z152">
            <v>16616.5</v>
          </cell>
          <cell r="AA152">
            <v>981</v>
          </cell>
          <cell r="AB152">
            <v>2047.8610000000001</v>
          </cell>
          <cell r="AC152" t="e">
            <v>#REF!</v>
          </cell>
        </row>
        <row r="153">
          <cell r="A153" t="str">
            <v>01600747</v>
          </cell>
          <cell r="B153" t="str">
            <v>합동상사</v>
          </cell>
          <cell r="C153">
            <v>95773</v>
          </cell>
          <cell r="D153">
            <v>292867.39200000011</v>
          </cell>
          <cell r="E153">
            <v>3542</v>
          </cell>
          <cell r="F153">
            <v>10853.547000000004</v>
          </cell>
          <cell r="G153">
            <v>4437</v>
          </cell>
          <cell r="H153">
            <v>15580.897999999997</v>
          </cell>
          <cell r="I153">
            <v>7559</v>
          </cell>
          <cell r="J153">
            <v>25112.587</v>
          </cell>
          <cell r="K153">
            <v>9069</v>
          </cell>
          <cell r="L153">
            <v>26541.787999999997</v>
          </cell>
          <cell r="M153">
            <v>6692</v>
          </cell>
          <cell r="N153">
            <v>21132.882999999991</v>
          </cell>
          <cell r="O153">
            <v>10880</v>
          </cell>
          <cell r="P153">
            <v>31225.073999999997</v>
          </cell>
          <cell r="Q153">
            <v>5980</v>
          </cell>
          <cell r="R153">
            <v>18281.292999999998</v>
          </cell>
          <cell r="S153">
            <v>7987</v>
          </cell>
          <cell r="T153">
            <v>26142.349000000006</v>
          </cell>
          <cell r="U153">
            <v>11302</v>
          </cell>
          <cell r="V153">
            <v>30029.406999999999</v>
          </cell>
          <cell r="W153">
            <v>16363</v>
          </cell>
          <cell r="X153">
            <v>45637.250999999982</v>
          </cell>
          <cell r="Y153">
            <v>6278</v>
          </cell>
          <cell r="Z153">
            <v>23057.507999999998</v>
          </cell>
          <cell r="AA153">
            <v>5685</v>
          </cell>
          <cell r="AB153">
            <v>19272.807000000004</v>
          </cell>
          <cell r="AC153" t="e">
            <v>#REF!</v>
          </cell>
        </row>
        <row r="154">
          <cell r="A154" t="str">
            <v>01601945</v>
          </cell>
          <cell r="B154" t="str">
            <v>해성산기(주)</v>
          </cell>
          <cell r="C154">
            <v>172</v>
          </cell>
          <cell r="D154">
            <v>850.01900000000001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172</v>
          </cell>
          <cell r="T154">
            <v>850.01900000000001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 t="e">
            <v>#REF!</v>
          </cell>
        </row>
        <row r="155">
          <cell r="A155" t="str">
            <v>01607348</v>
          </cell>
          <cell r="B155" t="str">
            <v>현대상사</v>
          </cell>
          <cell r="C155">
            <v>134842</v>
          </cell>
          <cell r="D155">
            <v>629464.81400000013</v>
          </cell>
          <cell r="E155">
            <v>6373</v>
          </cell>
          <cell r="F155">
            <v>34933.495999999985</v>
          </cell>
          <cell r="G155">
            <v>7462</v>
          </cell>
          <cell r="H155">
            <v>41591.654000000017</v>
          </cell>
          <cell r="I155">
            <v>10206</v>
          </cell>
          <cell r="J155">
            <v>50917.608</v>
          </cell>
          <cell r="K155">
            <v>14823</v>
          </cell>
          <cell r="L155">
            <v>65196.43</v>
          </cell>
          <cell r="M155">
            <v>16584</v>
          </cell>
          <cell r="N155">
            <v>66765.279999999999</v>
          </cell>
          <cell r="O155">
            <v>12151</v>
          </cell>
          <cell r="P155">
            <v>60515.312999999995</v>
          </cell>
          <cell r="Q155">
            <v>8520</v>
          </cell>
          <cell r="R155">
            <v>44227.15</v>
          </cell>
          <cell r="S155">
            <v>10160</v>
          </cell>
          <cell r="T155">
            <v>48285.70900000001</v>
          </cell>
          <cell r="U155">
            <v>12725</v>
          </cell>
          <cell r="V155">
            <v>54673.161999999989</v>
          </cell>
          <cell r="W155">
            <v>16542</v>
          </cell>
          <cell r="X155">
            <v>62957.627999999997</v>
          </cell>
          <cell r="Y155">
            <v>12017</v>
          </cell>
          <cell r="Z155">
            <v>61955.063000000009</v>
          </cell>
          <cell r="AA155">
            <v>7271</v>
          </cell>
          <cell r="AB155">
            <v>37446.320999999989</v>
          </cell>
          <cell r="AC155" t="e">
            <v>#REF!</v>
          </cell>
        </row>
        <row r="156">
          <cell r="A156" t="str">
            <v>31893847</v>
          </cell>
          <cell r="B156" t="str">
            <v>현대상사(검단)</v>
          </cell>
          <cell r="C156">
            <v>76291</v>
          </cell>
          <cell r="D156">
            <v>233631.73100000006</v>
          </cell>
          <cell r="E156">
            <v>5066</v>
          </cell>
          <cell r="F156">
            <v>17971.550999999999</v>
          </cell>
          <cell r="G156">
            <v>5534</v>
          </cell>
          <cell r="H156">
            <v>15640.949000000001</v>
          </cell>
          <cell r="I156">
            <v>8746</v>
          </cell>
          <cell r="J156">
            <v>27319.794999999995</v>
          </cell>
          <cell r="K156">
            <v>6631</v>
          </cell>
          <cell r="L156">
            <v>18136.619000000002</v>
          </cell>
          <cell r="M156">
            <v>5498</v>
          </cell>
          <cell r="N156">
            <v>16972.803</v>
          </cell>
          <cell r="O156">
            <v>7682</v>
          </cell>
          <cell r="P156">
            <v>27233.063999999995</v>
          </cell>
          <cell r="Q156">
            <v>5874</v>
          </cell>
          <cell r="R156">
            <v>14986.198</v>
          </cell>
          <cell r="S156">
            <v>5156</v>
          </cell>
          <cell r="T156">
            <v>16541.389000000006</v>
          </cell>
          <cell r="U156">
            <v>6715</v>
          </cell>
          <cell r="V156">
            <v>18676.733999999997</v>
          </cell>
          <cell r="W156">
            <v>9090</v>
          </cell>
          <cell r="X156">
            <v>26695.765999999996</v>
          </cell>
          <cell r="Y156">
            <v>5243</v>
          </cell>
          <cell r="Z156">
            <v>16592.863000000001</v>
          </cell>
          <cell r="AA156">
            <v>5062</v>
          </cell>
          <cell r="AB156">
            <v>16864</v>
          </cell>
          <cell r="AC156" t="e">
            <v>#REF!</v>
          </cell>
        </row>
        <row r="157">
          <cell r="A157" t="str">
            <v>39698147</v>
          </cell>
          <cell r="B157" t="str">
            <v>현대상사(대곶)</v>
          </cell>
          <cell r="C157">
            <v>93082</v>
          </cell>
          <cell r="D157">
            <v>271639.39600000001</v>
          </cell>
          <cell r="E157">
            <v>5898</v>
          </cell>
          <cell r="F157">
            <v>16315.914999999997</v>
          </cell>
          <cell r="G157">
            <v>3764</v>
          </cell>
          <cell r="H157">
            <v>13546.607999999998</v>
          </cell>
          <cell r="I157">
            <v>5745</v>
          </cell>
          <cell r="J157">
            <v>18491.558999999997</v>
          </cell>
          <cell r="K157">
            <v>7960</v>
          </cell>
          <cell r="L157">
            <v>18827.973000000002</v>
          </cell>
          <cell r="M157">
            <v>6917</v>
          </cell>
          <cell r="N157">
            <v>19174.196000000004</v>
          </cell>
          <cell r="O157">
            <v>10175</v>
          </cell>
          <cell r="P157">
            <v>34925.117000000006</v>
          </cell>
          <cell r="Q157">
            <v>9539</v>
          </cell>
          <cell r="R157">
            <v>30206.168999999998</v>
          </cell>
          <cell r="S157">
            <v>8332</v>
          </cell>
          <cell r="T157">
            <v>24556.981</v>
          </cell>
          <cell r="U157">
            <v>5696</v>
          </cell>
          <cell r="V157">
            <v>17729.655000000002</v>
          </cell>
          <cell r="W157">
            <v>12325</v>
          </cell>
          <cell r="X157">
            <v>31206.651999999995</v>
          </cell>
          <cell r="Y157">
            <v>9852</v>
          </cell>
          <cell r="Z157">
            <v>26839.471999999998</v>
          </cell>
          <cell r="AA157">
            <v>6890</v>
          </cell>
          <cell r="AB157">
            <v>19819.099000000006</v>
          </cell>
          <cell r="AC157" t="e">
            <v>#REF!</v>
          </cell>
        </row>
        <row r="158">
          <cell r="A158" t="str">
            <v>39698177</v>
          </cell>
          <cell r="B158" t="str">
            <v>현대상사(대곶)</v>
          </cell>
          <cell r="C158">
            <v>81</v>
          </cell>
          <cell r="D158">
            <v>536.1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42</v>
          </cell>
          <cell r="J158">
            <v>302.29000000000002</v>
          </cell>
          <cell r="K158">
            <v>19</v>
          </cell>
          <cell r="L158">
            <v>106.827</v>
          </cell>
          <cell r="M158">
            <v>19</v>
          </cell>
          <cell r="N158">
            <v>126.983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 t="e">
            <v>#REF!</v>
          </cell>
        </row>
        <row r="159">
          <cell r="A159" t="str">
            <v>01608554</v>
          </cell>
          <cell r="B159" t="str">
            <v>현대자동차(주)인천사업</v>
          </cell>
          <cell r="C159">
            <v>10764</v>
          </cell>
          <cell r="D159">
            <v>48701.719000000005</v>
          </cell>
          <cell r="E159">
            <v>647</v>
          </cell>
          <cell r="F159">
            <v>3037.5079999999998</v>
          </cell>
          <cell r="G159">
            <v>774</v>
          </cell>
          <cell r="H159">
            <v>3516.9670000000001</v>
          </cell>
          <cell r="I159">
            <v>972</v>
          </cell>
          <cell r="J159">
            <v>4391.95</v>
          </cell>
          <cell r="K159">
            <v>936</v>
          </cell>
          <cell r="L159">
            <v>4131.1109999999999</v>
          </cell>
          <cell r="M159">
            <v>871</v>
          </cell>
          <cell r="N159">
            <v>4071.8039999999996</v>
          </cell>
          <cell r="O159">
            <v>980</v>
          </cell>
          <cell r="P159">
            <v>4466.3919999999998</v>
          </cell>
          <cell r="Q159">
            <v>907</v>
          </cell>
          <cell r="R159">
            <v>3962.85</v>
          </cell>
          <cell r="S159">
            <v>874</v>
          </cell>
          <cell r="T159">
            <v>4167.9150000000009</v>
          </cell>
          <cell r="U159">
            <v>961</v>
          </cell>
          <cell r="V159">
            <v>4215.7520000000004</v>
          </cell>
          <cell r="W159">
            <v>965</v>
          </cell>
          <cell r="X159">
            <v>4490.5789999999997</v>
          </cell>
          <cell r="Y159">
            <v>1123</v>
          </cell>
          <cell r="Z159">
            <v>4882.5720000000001</v>
          </cell>
          <cell r="AA159">
            <v>761</v>
          </cell>
          <cell r="AB159">
            <v>3366.3190000000004</v>
          </cell>
          <cell r="AC159" t="e">
            <v>#REF!</v>
          </cell>
        </row>
        <row r="160">
          <cell r="A160" t="str">
            <v>01146754</v>
          </cell>
          <cell r="B160" t="str">
            <v>현대제철(주)</v>
          </cell>
          <cell r="C160">
            <v>45966</v>
          </cell>
          <cell r="D160">
            <v>114679.90399999999</v>
          </cell>
          <cell r="E160">
            <v>2097</v>
          </cell>
          <cell r="F160">
            <v>5242.152</v>
          </cell>
          <cell r="G160">
            <v>2419</v>
          </cell>
          <cell r="H160">
            <v>6092.8639999999987</v>
          </cell>
          <cell r="I160">
            <v>1905</v>
          </cell>
          <cell r="J160">
            <v>4154.652</v>
          </cell>
          <cell r="K160">
            <v>5405</v>
          </cell>
          <cell r="L160">
            <v>14958.475000000002</v>
          </cell>
          <cell r="M160">
            <v>3320</v>
          </cell>
          <cell r="N160">
            <v>9164.2999999999993</v>
          </cell>
          <cell r="O160">
            <v>3249</v>
          </cell>
          <cell r="P160">
            <v>9844.2510000000002</v>
          </cell>
          <cell r="Q160">
            <v>4944</v>
          </cell>
          <cell r="R160">
            <v>11112.7</v>
          </cell>
          <cell r="S160">
            <v>6239</v>
          </cell>
          <cell r="T160">
            <v>15308.318000000001</v>
          </cell>
          <cell r="U160">
            <v>2057</v>
          </cell>
          <cell r="V160">
            <v>5475.7779999999993</v>
          </cell>
          <cell r="W160">
            <v>4382</v>
          </cell>
          <cell r="X160">
            <v>11737.218999999999</v>
          </cell>
          <cell r="Y160">
            <v>2639</v>
          </cell>
          <cell r="Z160">
            <v>5472.0439999999999</v>
          </cell>
          <cell r="AA160">
            <v>7310</v>
          </cell>
          <cell r="AB160">
            <v>16117.151</v>
          </cell>
          <cell r="AC160" t="e">
            <v>#REF!</v>
          </cell>
        </row>
        <row r="161">
          <cell r="A161" t="str">
            <v>40843848</v>
          </cell>
          <cell r="B161" t="str">
            <v>혜성자동차페인트</v>
          </cell>
          <cell r="C161">
            <v>36983</v>
          </cell>
          <cell r="D161">
            <v>217892.93799999999</v>
          </cell>
          <cell r="E161">
            <v>2378</v>
          </cell>
          <cell r="F161">
            <v>13878.886000000002</v>
          </cell>
          <cell r="G161">
            <v>2435</v>
          </cell>
          <cell r="H161">
            <v>14752.611000000001</v>
          </cell>
          <cell r="I161">
            <v>3960</v>
          </cell>
          <cell r="J161">
            <v>21416.984000000004</v>
          </cell>
          <cell r="K161">
            <v>3388</v>
          </cell>
          <cell r="L161">
            <v>19579.650000000001</v>
          </cell>
          <cell r="M161">
            <v>3217</v>
          </cell>
          <cell r="N161">
            <v>19849.023000000001</v>
          </cell>
          <cell r="O161">
            <v>3294</v>
          </cell>
          <cell r="P161">
            <v>20341.392</v>
          </cell>
          <cell r="Q161">
            <v>2536</v>
          </cell>
          <cell r="R161">
            <v>16068.016999999998</v>
          </cell>
          <cell r="S161">
            <v>2452</v>
          </cell>
          <cell r="T161">
            <v>16899.482</v>
          </cell>
          <cell r="U161">
            <v>2704</v>
          </cell>
          <cell r="V161">
            <v>17093.460999999999</v>
          </cell>
          <cell r="W161">
            <v>2738</v>
          </cell>
          <cell r="X161">
            <v>18376.347000000005</v>
          </cell>
          <cell r="Y161">
            <v>5217</v>
          </cell>
          <cell r="Z161">
            <v>24620.03</v>
          </cell>
          <cell r="AA161">
            <v>2670</v>
          </cell>
          <cell r="AB161">
            <v>15017.054999999998</v>
          </cell>
          <cell r="AC161" t="e">
            <v>#REF!</v>
          </cell>
        </row>
        <row r="162">
          <cell r="A162" t="str">
            <v>37390754</v>
          </cell>
          <cell r="B162" t="str">
            <v>호성기업</v>
          </cell>
          <cell r="C162">
            <v>6657</v>
          </cell>
          <cell r="D162">
            <v>82869.646999999997</v>
          </cell>
          <cell r="E162">
            <v>1560</v>
          </cell>
          <cell r="F162">
            <v>15804.669</v>
          </cell>
          <cell r="G162">
            <v>0</v>
          </cell>
          <cell r="H162">
            <v>0</v>
          </cell>
          <cell r="I162">
            <v>580</v>
          </cell>
          <cell r="J162">
            <v>7807.5320000000002</v>
          </cell>
          <cell r="K162">
            <v>99</v>
          </cell>
          <cell r="L162">
            <v>1456.7190000000001</v>
          </cell>
          <cell r="M162">
            <v>117</v>
          </cell>
          <cell r="N162">
            <v>1498.355</v>
          </cell>
          <cell r="O162">
            <v>644</v>
          </cell>
          <cell r="P162">
            <v>8021.0959999999995</v>
          </cell>
          <cell r="Q162">
            <v>404</v>
          </cell>
          <cell r="R162">
            <v>5221.134</v>
          </cell>
          <cell r="S162">
            <v>435</v>
          </cell>
          <cell r="T162">
            <v>5505.4589999999998</v>
          </cell>
          <cell r="U162">
            <v>352</v>
          </cell>
          <cell r="V162">
            <v>4580.8759999999993</v>
          </cell>
          <cell r="W162">
            <v>1169</v>
          </cell>
          <cell r="X162">
            <v>16665.835999999999</v>
          </cell>
          <cell r="Y162">
            <v>671</v>
          </cell>
          <cell r="Z162">
            <v>7886.6660000000002</v>
          </cell>
          <cell r="AA162">
            <v>627</v>
          </cell>
          <cell r="AB162">
            <v>8421.3050000000003</v>
          </cell>
          <cell r="AC162" t="e">
            <v>#REF!</v>
          </cell>
        </row>
        <row r="163">
          <cell r="A163" t="str">
            <v>56774554</v>
          </cell>
          <cell r="B163" t="str">
            <v>홍선기업</v>
          </cell>
          <cell r="C163">
            <v>1029</v>
          </cell>
          <cell r="D163">
            <v>3029.9389999999999</v>
          </cell>
          <cell r="E163">
            <v>91</v>
          </cell>
          <cell r="F163">
            <v>268.47500000000002</v>
          </cell>
          <cell r="G163">
            <v>77</v>
          </cell>
          <cell r="H163">
            <v>230.12200000000001</v>
          </cell>
          <cell r="I163">
            <v>87</v>
          </cell>
          <cell r="J163">
            <v>255.691</v>
          </cell>
          <cell r="K163">
            <v>91</v>
          </cell>
          <cell r="L163">
            <v>268.47500000000002</v>
          </cell>
          <cell r="M163">
            <v>83</v>
          </cell>
          <cell r="N163">
            <v>242.90700000000001</v>
          </cell>
          <cell r="O163">
            <v>87</v>
          </cell>
          <cell r="P163">
            <v>255.691</v>
          </cell>
          <cell r="Q163">
            <v>74</v>
          </cell>
          <cell r="R163">
            <v>217.33699999999999</v>
          </cell>
          <cell r="S163">
            <v>83</v>
          </cell>
          <cell r="T163">
            <v>242.90700000000001</v>
          </cell>
          <cell r="U163">
            <v>83</v>
          </cell>
          <cell r="V163">
            <v>242.90700000000001</v>
          </cell>
          <cell r="W163">
            <v>95</v>
          </cell>
          <cell r="X163">
            <v>281.26099999999997</v>
          </cell>
          <cell r="Y163">
            <v>87</v>
          </cell>
          <cell r="Z163">
            <v>255.691</v>
          </cell>
          <cell r="AA163">
            <v>91</v>
          </cell>
          <cell r="AB163">
            <v>268.47500000000002</v>
          </cell>
          <cell r="AC163" t="e">
            <v>#REF!</v>
          </cell>
        </row>
        <row r="164">
          <cell r="A164" t="str">
            <v>01615347</v>
          </cell>
          <cell r="B164" t="str">
            <v>홍인상사</v>
          </cell>
          <cell r="C164">
            <v>84133</v>
          </cell>
          <cell r="D164">
            <v>353730.42200000008</v>
          </cell>
          <cell r="E164">
            <v>5416</v>
          </cell>
          <cell r="F164">
            <v>25249.209000000003</v>
          </cell>
          <cell r="G164">
            <v>2802</v>
          </cell>
          <cell r="H164">
            <v>16862.794000000002</v>
          </cell>
          <cell r="I164">
            <v>7711</v>
          </cell>
          <cell r="J164">
            <v>31364.27</v>
          </cell>
          <cell r="K164">
            <v>4558</v>
          </cell>
          <cell r="L164">
            <v>24704.634999999998</v>
          </cell>
          <cell r="M164">
            <v>8021</v>
          </cell>
          <cell r="N164">
            <v>31921.125999999997</v>
          </cell>
          <cell r="O164">
            <v>10875</v>
          </cell>
          <cell r="P164">
            <v>39470.463000000003</v>
          </cell>
          <cell r="Q164">
            <v>4127</v>
          </cell>
          <cell r="R164">
            <v>20537.840999999997</v>
          </cell>
          <cell r="S164">
            <v>8051</v>
          </cell>
          <cell r="T164">
            <v>32704.535</v>
          </cell>
          <cell r="U164">
            <v>9672</v>
          </cell>
          <cell r="V164">
            <v>38153.51</v>
          </cell>
          <cell r="W164">
            <v>8724</v>
          </cell>
          <cell r="X164">
            <v>33141.944999999992</v>
          </cell>
          <cell r="Y164">
            <v>11172</v>
          </cell>
          <cell r="Z164">
            <v>40047.211000000003</v>
          </cell>
          <cell r="AA164">
            <v>2992</v>
          </cell>
          <cell r="AB164">
            <v>19572.883000000005</v>
          </cell>
          <cell r="AC164" t="e">
            <v>#REF!</v>
          </cell>
        </row>
        <row r="165">
          <cell r="A165" t="str">
            <v>01616547</v>
          </cell>
          <cell r="B165" t="str">
            <v>화성P상사</v>
          </cell>
          <cell r="C165">
            <v>8687</v>
          </cell>
          <cell r="D165">
            <v>25934.67</v>
          </cell>
          <cell r="E165">
            <v>296</v>
          </cell>
          <cell r="F165">
            <v>871.93100000000004</v>
          </cell>
          <cell r="G165">
            <v>176</v>
          </cell>
          <cell r="H165">
            <v>523.72500000000002</v>
          </cell>
          <cell r="I165">
            <v>698</v>
          </cell>
          <cell r="J165">
            <v>1661.1120000000001</v>
          </cell>
          <cell r="K165">
            <v>934</v>
          </cell>
          <cell r="L165">
            <v>2706.6840000000002</v>
          </cell>
          <cell r="M165">
            <v>404</v>
          </cell>
          <cell r="N165">
            <v>1468.5359999999998</v>
          </cell>
          <cell r="O165">
            <v>393</v>
          </cell>
          <cell r="P165">
            <v>1731.8839999999998</v>
          </cell>
          <cell r="Q165">
            <v>376</v>
          </cell>
          <cell r="R165">
            <v>1237.9939999999999</v>
          </cell>
          <cell r="S165">
            <v>828</v>
          </cell>
          <cell r="T165">
            <v>2004.3589999999999</v>
          </cell>
          <cell r="U165">
            <v>875</v>
          </cell>
          <cell r="V165">
            <v>3039.4</v>
          </cell>
          <cell r="W165">
            <v>815</v>
          </cell>
          <cell r="X165">
            <v>2177.8119999999999</v>
          </cell>
          <cell r="Y165">
            <v>2140</v>
          </cell>
          <cell r="Z165">
            <v>6321.4639999999999</v>
          </cell>
          <cell r="AA165">
            <v>747</v>
          </cell>
          <cell r="AB165">
            <v>2189.7690000000002</v>
          </cell>
          <cell r="AC165" t="e">
            <v>#REF!</v>
          </cell>
        </row>
        <row r="166">
          <cell r="A166" t="str">
            <v>01619247</v>
          </cell>
          <cell r="B166" t="str">
            <v>효성상사</v>
          </cell>
          <cell r="C166">
            <v>132214</v>
          </cell>
          <cell r="D166">
            <v>404043.1289999999</v>
          </cell>
          <cell r="E166">
            <v>5044</v>
          </cell>
          <cell r="F166">
            <v>16983.520999999993</v>
          </cell>
          <cell r="G166">
            <v>5812</v>
          </cell>
          <cell r="H166">
            <v>14671.51</v>
          </cell>
          <cell r="I166">
            <v>11057</v>
          </cell>
          <cell r="J166">
            <v>34655.868000000002</v>
          </cell>
          <cell r="K166">
            <v>13008</v>
          </cell>
          <cell r="L166">
            <v>40951.201000000008</v>
          </cell>
          <cell r="M166">
            <v>11598</v>
          </cell>
          <cell r="N166">
            <v>38172.619000000006</v>
          </cell>
          <cell r="O166">
            <v>11511</v>
          </cell>
          <cell r="P166">
            <v>39764.649000000005</v>
          </cell>
          <cell r="Q166">
            <v>9185</v>
          </cell>
          <cell r="R166">
            <v>29692.826000000001</v>
          </cell>
          <cell r="S166">
            <v>11011</v>
          </cell>
          <cell r="T166">
            <v>31856.00599999999</v>
          </cell>
          <cell r="U166">
            <v>14109</v>
          </cell>
          <cell r="V166">
            <v>41848.064000000006</v>
          </cell>
          <cell r="W166">
            <v>11682</v>
          </cell>
          <cell r="X166">
            <v>41371.608999999989</v>
          </cell>
          <cell r="Y166">
            <v>21784</v>
          </cell>
          <cell r="Z166">
            <v>50058.03</v>
          </cell>
          <cell r="AA166">
            <v>6416</v>
          </cell>
          <cell r="AB166">
            <v>24017.225999999999</v>
          </cell>
          <cell r="AC166" t="e">
            <v>#REF!</v>
          </cell>
        </row>
        <row r="167">
          <cell r="A167" t="str">
            <v>01619277</v>
          </cell>
          <cell r="B167" t="str">
            <v>효성상사</v>
          </cell>
          <cell r="C167">
            <v>629</v>
          </cell>
          <cell r="D167">
            <v>4603.4359999999997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399</v>
          </cell>
          <cell r="L167">
            <v>2936.933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230</v>
          </cell>
          <cell r="X167">
            <v>1666.5029999999999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 t="e">
            <v>#REF!</v>
          </cell>
        </row>
        <row r="168">
          <cell r="A168" t="str">
            <v>33003947</v>
          </cell>
          <cell r="B168" t="str">
            <v>ABC 케미칼</v>
          </cell>
          <cell r="C168">
            <v>110659</v>
          </cell>
          <cell r="D168">
            <v>356585.75099999987</v>
          </cell>
          <cell r="E168">
            <v>5868</v>
          </cell>
          <cell r="F168">
            <v>15263.579000000002</v>
          </cell>
          <cell r="G168">
            <v>4573</v>
          </cell>
          <cell r="H168">
            <v>16846.726999999999</v>
          </cell>
          <cell r="I168">
            <v>7897</v>
          </cell>
          <cell r="J168">
            <v>25644.225000000002</v>
          </cell>
          <cell r="K168">
            <v>8068</v>
          </cell>
          <cell r="L168">
            <v>23087.552000000007</v>
          </cell>
          <cell r="M168">
            <v>12787</v>
          </cell>
          <cell r="N168">
            <v>39261.841</v>
          </cell>
          <cell r="O168">
            <v>15452</v>
          </cell>
          <cell r="P168">
            <v>51741.864999999991</v>
          </cell>
          <cell r="Q168">
            <v>9925</v>
          </cell>
          <cell r="R168">
            <v>30525.974000000002</v>
          </cell>
          <cell r="S168">
            <v>8754</v>
          </cell>
          <cell r="T168">
            <v>29173.967000000001</v>
          </cell>
          <cell r="U168">
            <v>11911</v>
          </cell>
          <cell r="V168">
            <v>42891.165000000001</v>
          </cell>
          <cell r="W168">
            <v>5982</v>
          </cell>
          <cell r="X168">
            <v>19523.867999999995</v>
          </cell>
          <cell r="Y168">
            <v>7081</v>
          </cell>
          <cell r="Z168">
            <v>26617.296000000002</v>
          </cell>
          <cell r="AA168">
            <v>12367</v>
          </cell>
          <cell r="AB168">
            <v>36007.691999999995</v>
          </cell>
          <cell r="AC168" t="e">
            <v>#REF!</v>
          </cell>
        </row>
        <row r="169">
          <cell r="A169" t="str">
            <v>27389645</v>
          </cell>
          <cell r="B169" t="str">
            <v>SK 인천정유  (주)</v>
          </cell>
          <cell r="C169">
            <v>1457</v>
          </cell>
          <cell r="D169">
            <v>5374.4310000000005</v>
          </cell>
          <cell r="E169">
            <v>932</v>
          </cell>
          <cell r="F169">
            <v>2983.8029999999999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525</v>
          </cell>
          <cell r="Z169">
            <v>2390.6280000000002</v>
          </cell>
          <cell r="AA169">
            <v>0</v>
          </cell>
          <cell r="AB169">
            <v>0</v>
          </cell>
          <cell r="AC169" t="e">
            <v>#REF!</v>
          </cell>
        </row>
        <row r="170">
          <cell r="A170" t="str">
            <v>총합계</v>
          </cell>
          <cell r="C170">
            <v>8863096</v>
          </cell>
          <cell r="D170">
            <v>30588160.594999995</v>
          </cell>
          <cell r="E170">
            <v>479739</v>
          </cell>
          <cell r="F170">
            <v>1834606.6140000003</v>
          </cell>
          <cell r="G170">
            <v>437226</v>
          </cell>
          <cell r="H170">
            <v>1689345.7679999999</v>
          </cell>
          <cell r="I170">
            <v>769487</v>
          </cell>
          <cell r="J170">
            <v>2602726.2619999996</v>
          </cell>
          <cell r="K170">
            <v>821536</v>
          </cell>
          <cell r="L170">
            <v>2745879.0440000002</v>
          </cell>
          <cell r="M170">
            <v>818481</v>
          </cell>
          <cell r="N170">
            <v>2758307.6969999992</v>
          </cell>
          <cell r="O170">
            <v>871755</v>
          </cell>
          <cell r="P170">
            <v>2927233.3610000005</v>
          </cell>
          <cell r="Q170">
            <v>649132</v>
          </cell>
          <cell r="R170">
            <v>2338176.2189999996</v>
          </cell>
          <cell r="S170">
            <v>770353</v>
          </cell>
          <cell r="T170">
            <v>2641110.3340000026</v>
          </cell>
          <cell r="U170">
            <v>862510</v>
          </cell>
          <cell r="V170">
            <v>2825319.6410000008</v>
          </cell>
          <cell r="W170">
            <v>938057</v>
          </cell>
          <cell r="X170">
            <v>3105088.5310000018</v>
          </cell>
          <cell r="Y170">
            <v>877223</v>
          </cell>
          <cell r="Z170">
            <v>2997024.6619999991</v>
          </cell>
          <cell r="AA170">
            <v>567769</v>
          </cell>
          <cell r="AB170">
            <v>2123342.4619999998</v>
          </cell>
          <cell r="AC170" t="e">
            <v>#REF!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비리스트"/>
      <sheetName val="04Y 업무분장"/>
      <sheetName val="생산기술연구소"/>
      <sheetName val="업무FLOW"/>
      <sheetName val="00.품질지시서목차 "/>
      <sheetName val="101.설비관리번호부여표준"/>
      <sheetName val="201.설비등급부여표준"/>
      <sheetName val="02.설비등급기준표"/>
      <sheetName val="교육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비리스트"/>
      <sheetName val="불일치(신)"/>
      <sheetName val="매각.폐기"/>
      <sheetName val="설비대수"/>
      <sheetName val="공장별자산"/>
      <sheetName val="라인별자산"/>
      <sheetName val="전력량"/>
      <sheetName val="지우지말것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품리스트"/>
      <sheetName val="분류체계"/>
      <sheetName val="DATA"/>
      <sheetName val="계획08"/>
      <sheetName val="자료"/>
      <sheetName val="금액"/>
      <sheetName val="산출근거"/>
      <sheetName val="비주거용"/>
      <sheetName val="연습"/>
      <sheetName val="업체송부양식(070411)"/>
      <sheetName val="건설성적"/>
      <sheetName val="실행예산"/>
      <sheetName val="대목"/>
      <sheetName val="과구분"/>
      <sheetName val="Sheet1 (2)"/>
      <sheetName val="담당N"/>
      <sheetName val="주소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견적서_벤더 송부용 (신형식)"/>
      <sheetName val="도어 라인업"/>
      <sheetName val="상판 라인업"/>
      <sheetName val="운영상품내역"/>
      <sheetName val="싱크볼"/>
      <sheetName val="수전"/>
      <sheetName val="쿡탑"/>
      <sheetName val="후드"/>
      <sheetName val="Sheet2"/>
    </sheetNames>
    <sheetDataSet>
      <sheetData sheetId="0" refreshError="1"/>
      <sheetData sheetId="1" refreshError="1"/>
      <sheetData sheetId="2">
        <row r="2">
          <cell r="C2" t="str">
            <v>국산 MMA 상판 선택</v>
          </cell>
          <cell r="E2" t="str">
            <v>쿼츠 상판 선택</v>
          </cell>
          <cell r="G2" t="str">
            <v>세라믹 상판 선택</v>
          </cell>
        </row>
        <row r="3">
          <cell r="C3" t="str">
            <v>어반화이트_URBAN WHITE</v>
          </cell>
          <cell r="E3" t="str">
            <v>칼라카타 웨이브_20T</v>
          </cell>
          <cell r="G3" t="str">
            <v>스톤 화이트</v>
          </cell>
        </row>
        <row r="4">
          <cell r="C4" t="str">
            <v>리얼화이트_REAL WHITE</v>
          </cell>
          <cell r="E4" t="str">
            <v>칼라카타 레인_20T</v>
          </cell>
          <cell r="G4" t="str">
            <v>스타투아리오 리얼</v>
          </cell>
        </row>
        <row r="5">
          <cell r="C5" t="str">
            <v>콘크리트_CONCRETE</v>
          </cell>
          <cell r="E5" t="str">
            <v>팔라틴_20T</v>
          </cell>
          <cell r="G5" t="str">
            <v>콘크리트 애쉬</v>
          </cell>
        </row>
        <row r="6">
          <cell r="C6" t="str">
            <v>알파카_ALPACA</v>
          </cell>
          <cell r="E6" t="str">
            <v>오텔로_20T</v>
          </cell>
          <cell r="G6" t="str">
            <v>트래버틴 미니멀 화이트</v>
          </cell>
        </row>
        <row r="7">
          <cell r="C7" t="str">
            <v>다크스카이_DARK SKY</v>
          </cell>
          <cell r="E7" t="str">
            <v>플루토_20T</v>
          </cell>
          <cell r="G7" t="str">
            <v>슬레이트 그레이</v>
          </cell>
        </row>
        <row r="8">
          <cell r="C8" t="str">
            <v>쿠키베이지_COOKIE BEIGE</v>
          </cell>
          <cell r="E8" t="str">
            <v>머큐리_20T</v>
          </cell>
          <cell r="G8" t="str">
            <v>콘크리트 화이트</v>
          </cell>
        </row>
        <row r="9">
          <cell r="C9" t="str">
            <v>갤럭시블랙GALAXY DARK</v>
          </cell>
          <cell r="E9" t="str">
            <v>로키 프로스트_12T</v>
          </cell>
          <cell r="G9" t="str">
            <v>스타투아리오 엑스트라</v>
          </cell>
        </row>
        <row r="10">
          <cell r="C10" t="str">
            <v>스노우_SNOW</v>
          </cell>
          <cell r="E10" t="str">
            <v>히말라야 베인_12T</v>
          </cell>
          <cell r="G10" t="str">
            <v>칼라카타</v>
          </cell>
        </row>
        <row r="11">
          <cell r="C11" t="str">
            <v>슈가그에이_SUGAR GREY</v>
          </cell>
          <cell r="E11" t="str">
            <v>루나릿지_12T</v>
          </cell>
          <cell r="G11" t="str">
            <v>퀴조</v>
          </cell>
        </row>
        <row r="12">
          <cell r="C12" t="str">
            <v>슈가베이지_SUGAR BEIGE</v>
          </cell>
          <cell r="E12" t="str">
            <v>에트나쉐이드_12T</v>
          </cell>
          <cell r="G12" t="str">
            <v>토토라 타푸</v>
          </cell>
        </row>
        <row r="13">
          <cell r="C13" t="str">
            <v>테란_TERRAN</v>
          </cell>
          <cell r="E13" t="str">
            <v>데저트 샌드_12T</v>
          </cell>
          <cell r="G13" t="str">
            <v>임페리얼 블랙</v>
          </cell>
        </row>
        <row r="14">
          <cell r="C14" t="str">
            <v>아이언그레이_IRON GREY</v>
          </cell>
          <cell r="E14" t="str">
            <v>디날리 쉐도우_12T</v>
          </cell>
          <cell r="G14" t="str">
            <v>트레버틴 베인 화이트</v>
          </cell>
        </row>
        <row r="15">
          <cell r="C15" t="str">
            <v>아이스캡_ICE CAB</v>
          </cell>
          <cell r="E15" t="str">
            <v>알카린 레이크</v>
          </cell>
          <cell r="G15" t="str">
            <v>콘크리트 다크 그레이</v>
          </cell>
        </row>
        <row r="16">
          <cell r="C16" t="str">
            <v>헤이즈_HAZE</v>
          </cell>
          <cell r="E16" t="str">
            <v>칼라카타 썬더</v>
          </cell>
          <cell r="G16" t="str">
            <v>보르고냐</v>
          </cell>
        </row>
        <row r="17">
          <cell r="C17" t="str">
            <v>크리스탈_CRYSTAL</v>
          </cell>
          <cell r="E17" t="str">
            <v>액시드 레이크</v>
          </cell>
          <cell r="G17" t="str">
            <v>슬레이트 블랙</v>
          </cell>
        </row>
        <row r="18">
          <cell r="E18" t="str">
            <v>칼라카타 블랙</v>
          </cell>
          <cell r="G18" t="str">
            <v>틴타 유니타 화이트</v>
          </cell>
        </row>
        <row r="19">
          <cell r="E19" t="str">
            <v>우라노스</v>
          </cell>
          <cell r="G19" t="str">
            <v>칼라카타 비올라</v>
          </cell>
        </row>
        <row r="20">
          <cell r="E20" t="str">
            <v>넵튠</v>
          </cell>
          <cell r="G20" t="str">
            <v>마키아 베키아</v>
          </cell>
        </row>
        <row r="21">
          <cell r="E21" t="str">
            <v>그랑빌</v>
          </cell>
          <cell r="G21" t="str">
            <v>라구나 블랑카</v>
          </cell>
        </row>
        <row r="22">
          <cell r="E22" t="str">
            <v>루나</v>
          </cell>
          <cell r="G22" t="str">
            <v>칼라카타 베나토</v>
          </cell>
        </row>
        <row r="23">
          <cell r="E23" t="str">
            <v>툰 화이트</v>
          </cell>
          <cell r="G23" t="str">
            <v>비스타</v>
          </cell>
        </row>
        <row r="24">
          <cell r="E24" t="str">
            <v>휴론</v>
          </cell>
          <cell r="G24" t="str">
            <v>프레라 프레쉬</v>
          </cell>
        </row>
        <row r="25">
          <cell r="E25" t="str">
            <v>볼카노</v>
          </cell>
        </row>
        <row r="26">
          <cell r="E26" t="str">
            <v>토네이도 화이트</v>
          </cell>
        </row>
        <row r="27">
          <cell r="E27" t="str">
            <v>새턴</v>
          </cell>
        </row>
        <row r="28">
          <cell r="E28" t="str">
            <v>글래시어 그레이</v>
          </cell>
        </row>
        <row r="29">
          <cell r="E29" t="str">
            <v>주피터</v>
          </cell>
        </row>
        <row r="30">
          <cell r="E30" t="str">
            <v>얼스 그레이</v>
          </cell>
        </row>
        <row r="31">
          <cell r="E31" t="str">
            <v>스톤 아일랜드</v>
          </cell>
        </row>
        <row r="32">
          <cell r="E32" t="str">
            <v>스모키 그레이</v>
          </cell>
        </row>
        <row r="33">
          <cell r="E33" t="str">
            <v>바살트 스모크</v>
          </cell>
        </row>
        <row r="34">
          <cell r="E34" t="str">
            <v>마스</v>
          </cell>
        </row>
        <row r="35">
          <cell r="E35" t="str">
            <v>비너스</v>
          </cell>
        </row>
        <row r="36">
          <cell r="E36" t="str">
            <v>라이트 웨이브</v>
          </cell>
        </row>
        <row r="37">
          <cell r="E37" t="str">
            <v>화이트 힐</v>
          </cell>
        </row>
        <row r="38">
          <cell r="E38" t="str">
            <v>오가닉 화이트</v>
          </cell>
        </row>
        <row r="39">
          <cell r="E39" t="str">
            <v>알파인 미스트</v>
          </cell>
        </row>
        <row r="40">
          <cell r="E40" t="str">
            <v>카메니</v>
          </cell>
        </row>
        <row r="41">
          <cell r="E41" t="str">
            <v>루시카</v>
          </cell>
        </row>
        <row r="42">
          <cell r="E42" t="str">
            <v>에트나</v>
          </cell>
        </row>
        <row r="43">
          <cell r="E43" t="str">
            <v>코르시카</v>
          </cell>
        </row>
        <row r="44">
          <cell r="E44" t="str">
            <v>몰슨</v>
          </cell>
        </row>
        <row r="45">
          <cell r="E45" t="str">
            <v>테네리페</v>
          </cell>
        </row>
        <row r="46">
          <cell r="E46" t="str">
            <v>알반</v>
          </cell>
        </row>
        <row r="47">
          <cell r="E47" t="str">
            <v>재스퍼 그레이</v>
          </cell>
        </row>
        <row r="48">
          <cell r="E48" t="str">
            <v>엘바</v>
          </cell>
        </row>
        <row r="49">
          <cell r="E49" t="str">
            <v>피코</v>
          </cell>
        </row>
        <row r="50">
          <cell r="E50" t="str">
            <v>테이데</v>
          </cell>
        </row>
        <row r="51">
          <cell r="E51" t="str">
            <v>마데이라</v>
          </cell>
        </row>
        <row r="52">
          <cell r="E52" t="str">
            <v>칸탈</v>
          </cell>
        </row>
        <row r="53">
          <cell r="E53" t="str">
            <v>젠틀 브리즈</v>
          </cell>
        </row>
        <row r="54">
          <cell r="E54" t="str">
            <v>스모키 마운틴</v>
          </cell>
        </row>
        <row r="55">
          <cell r="E55" t="str">
            <v>라바 그레이</v>
          </cell>
        </row>
        <row r="56">
          <cell r="E56" t="str">
            <v>브론즈</v>
          </cell>
        </row>
        <row r="57">
          <cell r="E57" t="str">
            <v>스트롱 화이트</v>
          </cell>
        </row>
        <row r="58">
          <cell r="E58" t="str">
            <v>알벌타</v>
          </cell>
        </row>
        <row r="59">
          <cell r="E59" t="str">
            <v>라이징 아이스</v>
          </cell>
        </row>
        <row r="60">
          <cell r="E60" t="str">
            <v>보르쉬 그레이</v>
          </cell>
        </row>
        <row r="61">
          <cell r="E61" t="str">
            <v>스모키 쿼츠</v>
          </cell>
        </row>
        <row r="62">
          <cell r="E62" t="str">
            <v>그레이 스팟</v>
          </cell>
        </row>
        <row r="63">
          <cell r="E63" t="str">
            <v>임페리얼</v>
          </cell>
        </row>
        <row r="64">
          <cell r="E64" t="str">
            <v>모던 그레이</v>
          </cell>
        </row>
        <row r="65">
          <cell r="E65" t="str">
            <v>크리스탈 토파즈</v>
          </cell>
        </row>
        <row r="66">
          <cell r="E66" t="str">
            <v>네로스</v>
          </cell>
        </row>
        <row r="67">
          <cell r="E67" t="str">
            <v>미아미</v>
          </cell>
        </row>
        <row r="68">
          <cell r="E68" t="str">
            <v>어반 브라운</v>
          </cell>
        </row>
      </sheetData>
      <sheetData sheetId="3">
        <row r="4">
          <cell r="H4" t="str">
            <v>싱크볼SET EFS-DSC850 유오버</v>
          </cell>
          <cell r="I4" t="str">
            <v>850*515*204</v>
          </cell>
          <cell r="J4" t="str">
            <v>SET</v>
          </cell>
          <cell r="K4">
            <v>71900</v>
          </cell>
        </row>
        <row r="5">
          <cell r="H5" t="str">
            <v>싱크볼SET EFS-DSC850 무오버</v>
          </cell>
          <cell r="I5" t="str">
            <v>850*515*204</v>
          </cell>
          <cell r="J5" t="str">
            <v>SET</v>
          </cell>
          <cell r="K5">
            <v>69000</v>
          </cell>
        </row>
        <row r="6">
          <cell r="H6" t="str">
            <v>싱크볼SET EFS-LJS850 유오버</v>
          </cell>
          <cell r="I6" t="str">
            <v>850*460*204</v>
          </cell>
          <cell r="J6" t="str">
            <v>SET</v>
          </cell>
          <cell r="K6">
            <v>78800</v>
          </cell>
        </row>
        <row r="7">
          <cell r="H7" t="str">
            <v>싱크볼SET EFS-DS740 유오버</v>
          </cell>
          <cell r="I7" t="str">
            <v>740*515*190</v>
          </cell>
          <cell r="J7" t="str">
            <v>SET</v>
          </cell>
          <cell r="K7">
            <v>83800</v>
          </cell>
        </row>
        <row r="8">
          <cell r="H8" t="str">
            <v>싱크볼SET EFS-JSC870 유오버</v>
          </cell>
          <cell r="I8" t="str">
            <v>870*480*198</v>
          </cell>
          <cell r="J8" t="str">
            <v>SET</v>
          </cell>
          <cell r="K8">
            <v>87900</v>
          </cell>
        </row>
        <row r="9">
          <cell r="H9" t="str">
            <v>싱크볼SET EFS-ISS630 유오버</v>
          </cell>
          <cell r="I9" t="str">
            <v>630*460*185</v>
          </cell>
          <cell r="J9" t="str">
            <v>SET</v>
          </cell>
          <cell r="K9">
            <v>47500</v>
          </cell>
        </row>
        <row r="10">
          <cell r="H10" t="str">
            <v>싱크볼SET EFS-ISS480 유오버</v>
          </cell>
          <cell r="I10" t="str">
            <v>478*428*187</v>
          </cell>
          <cell r="J10" t="str">
            <v>SET</v>
          </cell>
          <cell r="K10">
            <v>35400</v>
          </cell>
        </row>
        <row r="11">
          <cell r="H11" t="str">
            <v>싱크볼SET EFS-SQSR780(K)</v>
          </cell>
          <cell r="I11" t="str">
            <v>830*450*245</v>
          </cell>
          <cell r="J11" t="str">
            <v>SET</v>
          </cell>
          <cell r="K11">
            <v>175000</v>
          </cell>
        </row>
        <row r="12">
          <cell r="H12" t="str">
            <v>싱크볼SET EFS-SQSR500(K)</v>
          </cell>
          <cell r="I12" t="str">
            <v>550*450*235</v>
          </cell>
          <cell r="J12" t="str">
            <v>SET</v>
          </cell>
          <cell r="K12">
            <v>152000</v>
          </cell>
        </row>
        <row r="13">
          <cell r="H13" t="str">
            <v>싱크볼SET EFS-SQSR900(K)</v>
          </cell>
          <cell r="I13" t="str">
            <v>900*460*270</v>
          </cell>
          <cell r="J13" t="str">
            <v>SET</v>
          </cell>
          <cell r="K13">
            <v>168800</v>
          </cell>
        </row>
        <row r="14">
          <cell r="H14" t="str">
            <v>싱크볼SET EFS-SQSR900(K) ACC포함</v>
          </cell>
          <cell r="I14" t="str">
            <v>900*460*270</v>
          </cell>
          <cell r="J14" t="str">
            <v>SET</v>
          </cell>
          <cell r="K14">
            <v>202400</v>
          </cell>
        </row>
        <row r="15">
          <cell r="H15" t="str">
            <v>싱크볼SET EFS-SQSR780(K) 세라믹코팅</v>
          </cell>
          <cell r="I15" t="str">
            <v>830*450*245</v>
          </cell>
          <cell r="J15" t="str">
            <v>SET</v>
          </cell>
          <cell r="K15">
            <v>353400</v>
          </cell>
        </row>
        <row r="16">
          <cell r="H16" t="str">
            <v>미선택</v>
          </cell>
        </row>
        <row r="17">
          <cell r="H17" t="str">
            <v>주방수전 SB2-3000</v>
          </cell>
          <cell r="I17" t="str">
            <v>H350</v>
          </cell>
          <cell r="J17" t="str">
            <v>EA</v>
          </cell>
          <cell r="K17">
            <v>73400</v>
          </cell>
        </row>
        <row r="18">
          <cell r="H18" t="str">
            <v>주방수전 N2-3000</v>
          </cell>
          <cell r="I18" t="str">
            <v>220*449</v>
          </cell>
          <cell r="J18" t="str">
            <v>EA</v>
          </cell>
          <cell r="K18">
            <v>206700</v>
          </cell>
        </row>
        <row r="19">
          <cell r="H19" t="str">
            <v>주방수전 N3-3000</v>
          </cell>
          <cell r="I19" t="str">
            <v>220*H460</v>
          </cell>
          <cell r="J19" t="str">
            <v>EA</v>
          </cell>
          <cell r="K19">
            <v>213400</v>
          </cell>
        </row>
        <row r="20">
          <cell r="H20" t="str">
            <v>주방수전 SA1-3000</v>
          </cell>
          <cell r="I20" t="str">
            <v>H327</v>
          </cell>
          <cell r="J20" t="str">
            <v>EA</v>
          </cell>
          <cell r="K20">
            <v>42700</v>
          </cell>
        </row>
        <row r="21">
          <cell r="H21" t="str">
            <v>주방수전 SA2-3000</v>
          </cell>
          <cell r="I21" t="str">
            <v>H315</v>
          </cell>
          <cell r="J21" t="str">
            <v>EA</v>
          </cell>
          <cell r="K21">
            <v>53400</v>
          </cell>
        </row>
        <row r="22">
          <cell r="H22" t="str">
            <v>주방수전 S1-3000</v>
          </cell>
          <cell r="I22" t="str">
            <v>250*315</v>
          </cell>
          <cell r="J22" t="str">
            <v>EA</v>
          </cell>
          <cell r="K22">
            <v>54700</v>
          </cell>
        </row>
        <row r="23">
          <cell r="H23" t="str">
            <v>주방수전 SB1-3000(무광)</v>
          </cell>
          <cell r="I23" t="str">
            <v>255*457</v>
          </cell>
          <cell r="J23" t="str">
            <v>EA</v>
          </cell>
          <cell r="K23">
            <v>87200</v>
          </cell>
        </row>
        <row r="24">
          <cell r="H24" t="str">
            <v>주방수전 SB-200</v>
          </cell>
          <cell r="I24" t="str">
            <v>251*195</v>
          </cell>
          <cell r="J24" t="str">
            <v>EA</v>
          </cell>
          <cell r="K24">
            <v>38000</v>
          </cell>
        </row>
        <row r="25">
          <cell r="H25" t="str">
            <v>주방수전 BLE-2000</v>
          </cell>
          <cell r="I25" t="str">
            <v>276*328</v>
          </cell>
          <cell r="J25" t="str">
            <v>EA</v>
          </cell>
          <cell r="K25">
            <v>67500</v>
          </cell>
        </row>
        <row r="26">
          <cell r="H26" t="str">
            <v>미선택</v>
          </cell>
        </row>
        <row r="27">
          <cell r="H27" t="str">
            <v>가스3구 HSGC-B330</v>
          </cell>
          <cell r="I27" t="str">
            <v>580*460*98</v>
          </cell>
          <cell r="J27" t="str">
            <v>EA</v>
          </cell>
          <cell r="K27">
            <v>167500</v>
          </cell>
        </row>
        <row r="28">
          <cell r="H28" t="str">
            <v>하이라이트1구 HSEC-E1000K</v>
          </cell>
          <cell r="I28" t="str">
            <v>290*360*48</v>
          </cell>
          <cell r="J28" t="str">
            <v>EA</v>
          </cell>
          <cell r="K28">
            <v>64000</v>
          </cell>
        </row>
        <row r="29">
          <cell r="H29" t="str">
            <v>하이라이트2구 HSEC-B2000K</v>
          </cell>
          <cell r="I29" t="str">
            <v>290*520*48</v>
          </cell>
          <cell r="J29" t="str">
            <v>EA</v>
          </cell>
          <cell r="K29">
            <v>112200</v>
          </cell>
        </row>
        <row r="30">
          <cell r="H30" t="str">
            <v>인덕션3구 EFIH_X3000 GY</v>
          </cell>
          <cell r="I30" t="str">
            <v>590*520*60</v>
          </cell>
          <cell r="J30" t="str">
            <v>EA</v>
          </cell>
          <cell r="K30">
            <v>372000</v>
          </cell>
        </row>
        <row r="31">
          <cell r="H31" t="str">
            <v>미선택</v>
          </cell>
        </row>
        <row r="32">
          <cell r="H32" t="str">
            <v>후드 HSH-BS601(BL)</v>
          </cell>
          <cell r="I32" t="str">
            <v>598*254*145</v>
          </cell>
          <cell r="J32" t="str">
            <v>EA</v>
          </cell>
          <cell r="K32">
            <v>62400</v>
          </cell>
        </row>
        <row r="33">
          <cell r="H33" t="str">
            <v>후드 HSH-BS601(AL)</v>
          </cell>
          <cell r="I33" t="str">
            <v>598*254*145</v>
          </cell>
          <cell r="J33" t="str">
            <v>EA</v>
          </cell>
          <cell r="K33">
            <v>62400</v>
          </cell>
        </row>
        <row r="34">
          <cell r="H34" t="str">
            <v>후드 HSH-EG700(BK)</v>
          </cell>
          <cell r="I34" t="str">
            <v>598*310*700</v>
          </cell>
          <cell r="J34" t="str">
            <v>EA</v>
          </cell>
          <cell r="K34">
            <v>198700</v>
          </cell>
        </row>
        <row r="35">
          <cell r="H35" t="str">
            <v>후드 HSH-EG700(WH)</v>
          </cell>
          <cell r="I35" t="str">
            <v>598*310*700</v>
          </cell>
          <cell r="J35" t="str">
            <v>EA</v>
          </cell>
          <cell r="K35">
            <v>220000</v>
          </cell>
        </row>
        <row r="36">
          <cell r="H36" t="str">
            <v>후드 HSH-BR600</v>
          </cell>
          <cell r="I36" t="str">
            <v>598*287*120</v>
          </cell>
          <cell r="J36" t="str">
            <v>EA</v>
          </cell>
          <cell r="K36">
            <v>66400</v>
          </cell>
        </row>
        <row r="37">
          <cell r="H37" t="str">
            <v>후드 HSH-BD903</v>
          </cell>
          <cell r="I37" t="str">
            <v>898*500*750</v>
          </cell>
          <cell r="J37" t="str">
            <v>EA</v>
          </cell>
          <cell r="K37">
            <v>259600</v>
          </cell>
        </row>
        <row r="38">
          <cell r="H38" t="str">
            <v>후드 HSH-EA701</v>
          </cell>
          <cell r="I38" t="str">
            <v>598*393*680</v>
          </cell>
          <cell r="J38" t="str">
            <v>EA</v>
          </cell>
          <cell r="K38">
            <v>141400</v>
          </cell>
        </row>
        <row r="39">
          <cell r="H39" t="str">
            <v>후드 HSH-BC900</v>
          </cell>
          <cell r="I39" t="str">
            <v>895*500*560~1040</v>
          </cell>
          <cell r="J39" t="str">
            <v>EA</v>
          </cell>
          <cell r="K39">
            <v>277400</v>
          </cell>
        </row>
        <row r="40">
          <cell r="H40" t="str">
            <v>후드 HSH-EA600</v>
          </cell>
          <cell r="I40" t="str">
            <v>598*395*700</v>
          </cell>
          <cell r="J40" t="str">
            <v>EA</v>
          </cell>
          <cell r="K40">
            <v>126700</v>
          </cell>
        </row>
        <row r="41">
          <cell r="H41" t="str">
            <v>후드 BOH-LQ350</v>
          </cell>
          <cell r="I41" t="str">
            <v>350*350*500~800</v>
          </cell>
          <cell r="J41" t="str">
            <v>EA</v>
          </cell>
          <cell r="K41">
            <v>480000</v>
          </cell>
        </row>
        <row r="42">
          <cell r="H42" t="str">
            <v>미선택</v>
          </cell>
        </row>
      </sheetData>
      <sheetData sheetId="4">
        <row r="3">
          <cell r="D3" t="str">
            <v>싱크볼SET EFS-DSC850 유오버(좌뒤)</v>
          </cell>
          <cell r="E3" t="str">
            <v>리젠스</v>
          </cell>
          <cell r="F3" t="e">
            <v>#VALUE!</v>
          </cell>
        </row>
        <row r="4">
          <cell r="D4" t="str">
            <v>싱크볼SET EFS-DSC850 무오버</v>
          </cell>
          <cell r="E4" t="str">
            <v>리젠스</v>
          </cell>
          <cell r="F4" t="e">
            <v>#VALUE!</v>
          </cell>
        </row>
        <row r="5">
          <cell r="D5" t="str">
            <v>싱크볼SET EFS-LJS850 유오버(센터후면)</v>
          </cell>
          <cell r="E5" t="str">
            <v>리젠스</v>
          </cell>
          <cell r="F5" t="e">
            <v>#VALUE!</v>
          </cell>
        </row>
        <row r="6">
          <cell r="D6" t="str">
            <v>싱크볼SET EFS-DS740 유오버</v>
          </cell>
          <cell r="E6" t="str">
            <v>백조</v>
          </cell>
          <cell r="F6" t="e">
            <v>#VALUE!</v>
          </cell>
        </row>
        <row r="7">
          <cell r="D7" t="str">
            <v>싱크볼SET EFS-JSC870 유오버</v>
          </cell>
          <cell r="E7" t="str">
            <v>리젠스</v>
          </cell>
          <cell r="F7" t="e">
            <v>#VALUE!</v>
          </cell>
        </row>
        <row r="8">
          <cell r="D8" t="str">
            <v>싱크볼SET EFS-ISS630 유오버</v>
          </cell>
          <cell r="E8" t="str">
            <v>리젠스</v>
          </cell>
          <cell r="F8" t="e">
            <v>#VALUE!</v>
          </cell>
        </row>
        <row r="9">
          <cell r="D9" t="str">
            <v>싱크볼SET EFS-ISS480 유오버</v>
          </cell>
          <cell r="E9" t="str">
            <v>리젠스</v>
          </cell>
          <cell r="F9" t="e">
            <v>#VALUE!</v>
          </cell>
        </row>
        <row r="10">
          <cell r="D10" t="str">
            <v>싱크볼SET EFS-SQSR780(K)</v>
          </cell>
          <cell r="E10" t="str">
            <v>백조</v>
          </cell>
          <cell r="F10" t="e">
            <v>#VALUE!</v>
          </cell>
        </row>
        <row r="11">
          <cell r="D11" t="str">
            <v>싱크볼SET EFS-SQSR500(K)</v>
          </cell>
          <cell r="E11" t="str">
            <v>백조</v>
          </cell>
          <cell r="F11" t="e">
            <v>#VALUE!</v>
          </cell>
        </row>
        <row r="12">
          <cell r="D12" t="str">
            <v>싱크볼SET EFS-SQSR900(K)</v>
          </cell>
          <cell r="E12" t="str">
            <v>백조</v>
          </cell>
          <cell r="F12" t="e">
            <v>#VALUE!</v>
          </cell>
        </row>
        <row r="13">
          <cell r="D13" t="str">
            <v>싱크볼SET EFS-SQSR900(K) ACC포함</v>
          </cell>
          <cell r="E13" t="str">
            <v>백조</v>
          </cell>
          <cell r="F13" t="e">
            <v>#VALUE!</v>
          </cell>
        </row>
        <row r="14">
          <cell r="D14" t="str">
            <v>싱크볼SET EFS-SQSR780(K) 세라믹코팅</v>
          </cell>
          <cell r="E14" t="str">
            <v>백조</v>
          </cell>
          <cell r="F14" t="e">
            <v>#VALUE!</v>
          </cell>
        </row>
      </sheetData>
      <sheetData sheetId="5">
        <row r="3">
          <cell r="D3" t="str">
            <v>주방수전 SB2-3000</v>
          </cell>
          <cell r="E3" t="str">
            <v>시원</v>
          </cell>
          <cell r="F3" t="e">
            <v>#VALUE!</v>
          </cell>
        </row>
        <row r="4">
          <cell r="D4" t="str">
            <v>주방수전 N2-3000</v>
          </cell>
          <cell r="E4" t="str">
            <v>시원</v>
          </cell>
          <cell r="F4" t="e">
            <v>#VALUE!</v>
          </cell>
        </row>
        <row r="5">
          <cell r="D5" t="str">
            <v>주방수전 N3-3000</v>
          </cell>
          <cell r="E5" t="str">
            <v>시원</v>
          </cell>
          <cell r="F5" t="e">
            <v>#VALUE!</v>
          </cell>
        </row>
        <row r="6">
          <cell r="D6" t="str">
            <v>주방수전 SA1-3000</v>
          </cell>
          <cell r="E6" t="str">
            <v>시원</v>
          </cell>
          <cell r="F6" t="e">
            <v>#VALUE!</v>
          </cell>
        </row>
        <row r="7">
          <cell r="D7" t="str">
            <v>주방수전 SA2-3000</v>
          </cell>
          <cell r="E7" t="str">
            <v>시원</v>
          </cell>
          <cell r="F7" t="e">
            <v>#VALUE!</v>
          </cell>
        </row>
        <row r="8">
          <cell r="D8" t="str">
            <v>주방수전 S1-3000</v>
          </cell>
          <cell r="E8" t="str">
            <v>시원</v>
          </cell>
          <cell r="F8" t="e">
            <v>#VALUE!</v>
          </cell>
        </row>
        <row r="9">
          <cell r="D9" t="str">
            <v>주방수전 SB1-3000(무광)</v>
          </cell>
          <cell r="E9" t="str">
            <v>시원</v>
          </cell>
          <cell r="F9" t="e">
            <v>#VALUE!</v>
          </cell>
        </row>
        <row r="10">
          <cell r="D10" t="str">
            <v>주방수전 SB-200</v>
          </cell>
          <cell r="E10" t="str">
            <v>시원</v>
          </cell>
          <cell r="F10" t="e">
            <v>#VALUE!</v>
          </cell>
        </row>
        <row r="11">
          <cell r="D11" t="str">
            <v>주방수전 BLE-2000</v>
          </cell>
          <cell r="E11" t="str">
            <v>베르사츠</v>
          </cell>
          <cell r="F11" t="e">
            <v>#VALUE!</v>
          </cell>
        </row>
      </sheetData>
      <sheetData sheetId="6">
        <row r="3">
          <cell r="D3" t="str">
            <v>가스3구 HSGC-B330</v>
          </cell>
          <cell r="E3" t="str">
            <v>파세코</v>
          </cell>
          <cell r="F3" t="e">
            <v>#VALUE!</v>
          </cell>
        </row>
        <row r="4">
          <cell r="D4" t="str">
            <v>하이라이트1구 HSEC-E1000K</v>
          </cell>
          <cell r="E4" t="str">
            <v>에이치엔씨</v>
          </cell>
          <cell r="F4" t="e">
            <v>#VALUE!</v>
          </cell>
        </row>
        <row r="5">
          <cell r="D5" t="str">
            <v>하이라이트2구 HSEC-B2000K</v>
          </cell>
          <cell r="E5" t="str">
            <v>에이치엔씨</v>
          </cell>
          <cell r="F5" t="e">
            <v>#VALUE!</v>
          </cell>
        </row>
        <row r="6">
          <cell r="D6" t="str">
            <v>인덕션3구 EFIH_X3000 GY</v>
          </cell>
          <cell r="E6" t="str">
            <v>이박스</v>
          </cell>
          <cell r="F6" t="e">
            <v>#VALUE!</v>
          </cell>
        </row>
      </sheetData>
      <sheetData sheetId="7">
        <row r="3">
          <cell r="D3" t="str">
            <v>후드 HSH-BS601(BL)</v>
          </cell>
          <cell r="E3" t="str">
            <v>에이치엔씨</v>
          </cell>
          <cell r="F3" t="e">
            <v>#VALUE!</v>
          </cell>
        </row>
        <row r="4">
          <cell r="D4" t="str">
            <v>후드 HSH-BS601(AL)</v>
          </cell>
          <cell r="E4" t="str">
            <v>에이치엔씨</v>
          </cell>
          <cell r="F4" t="e">
            <v>#VALUE!</v>
          </cell>
        </row>
        <row r="5">
          <cell r="D5" t="str">
            <v>후드 HSH-EG700(BK)</v>
          </cell>
          <cell r="E5" t="str">
            <v>에이치엔씨</v>
          </cell>
          <cell r="F5" t="e">
            <v>#VALUE!</v>
          </cell>
        </row>
        <row r="6">
          <cell r="D6" t="str">
            <v>후드 HSH-EG700(WH)</v>
          </cell>
          <cell r="E6" t="str">
            <v>에이치엔씨</v>
          </cell>
          <cell r="F6" t="e">
            <v>#VALUE!</v>
          </cell>
        </row>
        <row r="7">
          <cell r="D7" t="str">
            <v>후드 HSH-BR600</v>
          </cell>
          <cell r="E7" t="str">
            <v>에이치엔씨</v>
          </cell>
          <cell r="F7" t="e">
            <v>#VALUE!</v>
          </cell>
        </row>
        <row r="8">
          <cell r="D8" t="str">
            <v>후드 HSH-BD903</v>
          </cell>
          <cell r="E8" t="str">
            <v>에이치엔씨</v>
          </cell>
          <cell r="F8" t="e">
            <v>#VALUE!</v>
          </cell>
        </row>
        <row r="9">
          <cell r="D9" t="str">
            <v>후드 HSH-EA701</v>
          </cell>
          <cell r="E9" t="str">
            <v>에이치엔씨</v>
          </cell>
          <cell r="F9" t="e">
            <v>#VALUE!</v>
          </cell>
        </row>
        <row r="10">
          <cell r="D10" t="str">
            <v>후드 HSH-BC900</v>
          </cell>
          <cell r="E10" t="str">
            <v>에이치엔씨</v>
          </cell>
          <cell r="F10" t="e">
            <v>#VALUE!</v>
          </cell>
        </row>
        <row r="11">
          <cell r="D11" t="str">
            <v>후드 HSH-EA600</v>
          </cell>
          <cell r="E11" t="str">
            <v>에이치엔씨</v>
          </cell>
          <cell r="F11" t="e">
            <v>#VALUE!</v>
          </cell>
        </row>
        <row r="12">
          <cell r="D12" t="str">
            <v>후드 BOH-LQ350</v>
          </cell>
          <cell r="E12" t="str">
            <v>트라이애드</v>
          </cell>
          <cell r="F12" t="e">
            <v>#VALUE!</v>
          </cell>
        </row>
      </sheetData>
      <sheetData sheetId="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의뢰건"/>
      <sheetName val="의뢰건 (2)"/>
      <sheetName val="의뢰건 (3)"/>
      <sheetName val="Sheet6"/>
      <sheetName val="Sheet2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질현황"/>
      <sheetName val="대리점직시공불만족율"/>
      <sheetName val="내수품질"/>
      <sheetName val="특판"/>
      <sheetName val="무역"/>
      <sheetName val="직시공내역"/>
      <sheetName val="대리점판정"/>
      <sheetName val="대리점접수분"/>
      <sheetName val="소비자"/>
      <sheetName val="품정"/>
      <sheetName val="하발보"/>
      <sheetName val="순회"/>
      <sheetName val="무역하자"/>
      <sheetName val="공정"/>
      <sheetName val="빽"/>
      <sheetName val="6월품질일보(종합)"/>
      <sheetName val="COBS"/>
      <sheetName val="부품"/>
      <sheetName val="완성차 미수금"/>
      <sheetName val="조절판"/>
      <sheetName val="별제권_정리담보권"/>
      <sheetName val="Sheet6"/>
      <sheetName val="10월"/>
      <sheetName val="지우지말것"/>
      <sheetName val="모델"/>
      <sheetName val="BALANCE"/>
      <sheetName val="단가"/>
      <sheetName val="DWPM"/>
      <sheetName val="CashFlow(중간집계)"/>
      <sheetName val="냉천부속동"/>
      <sheetName val="대비"/>
      <sheetName val="S&amp;R"/>
      <sheetName val="갑지"/>
      <sheetName val="산출기준(파견전산실)"/>
      <sheetName val="생산계획"/>
      <sheetName val="전년실적"/>
      <sheetName val="해피콜"/>
      <sheetName val="재공품"/>
      <sheetName val="1월"/>
      <sheetName val="품목&amp;모델"/>
      <sheetName val="02.설비등급기준표"/>
      <sheetName val="데이타"/>
      <sheetName val="단가대비표 (3)"/>
      <sheetName val="완성차_미수금"/>
      <sheetName val="02_설비등급기준표"/>
      <sheetName val="단가대비표_(3)"/>
      <sheetName val="완성차_미수금1"/>
      <sheetName val="02_설비등급기준표1"/>
      <sheetName val="단가대비표_(3)1"/>
      <sheetName val="일위대가표"/>
      <sheetName val="MC산출근거"/>
      <sheetName val="데이터값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비리스트"/>
      <sheetName val="04Y 업무분장"/>
      <sheetName val="생산기술연구소"/>
      <sheetName val="업무FLOW"/>
      <sheetName val="00.품질지시서목차 "/>
      <sheetName val="101.설비관리번호부여표준"/>
      <sheetName val="201.설비등급부여표준"/>
      <sheetName val="02.설비등급기준표"/>
      <sheetName val="교육"/>
      <sheetName val="대리점판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최종본"/>
      <sheetName val="출력본"/>
      <sheetName val="해피콜"/>
      <sheetName val="절대지우지말것"/>
      <sheetName val="본부별매출"/>
      <sheetName val="생산매출 (3)"/>
      <sheetName val="생산현황"/>
      <sheetName val="공사별5"/>
      <sheetName val="지우지말것"/>
      <sheetName val="AS유보금 수금계획"/>
      <sheetName val="의뢰건 (2)"/>
      <sheetName val="생산매출_(3)"/>
      <sheetName val="AS유보금_수금계획"/>
      <sheetName val="의뢰건_(2)"/>
      <sheetName val="생산매출_(3)1"/>
      <sheetName val="AS유보금_수금계획1"/>
      <sheetName val="의뢰건_(2)1"/>
      <sheetName val="노무비"/>
      <sheetName val="내역서"/>
      <sheetName val="코드"/>
      <sheetName val="내자"/>
      <sheetName val="T"/>
      <sheetName val="수납몸통"/>
      <sheetName val="실측입력"/>
      <sheetName val="5월앞장해피콜"/>
      <sheetName val="목록"/>
      <sheetName val="257A1"/>
      <sheetName val="사양"/>
      <sheetName val="산출근거"/>
      <sheetName val="생산지시-FRP방수판"/>
      <sheetName val="생산지시-벽판넬"/>
      <sheetName val="천장판넬"/>
      <sheetName val="수정시산표"/>
      <sheetName val="#REF"/>
      <sheetName val="3월말재고현황"/>
      <sheetName val="품목마스터"/>
      <sheetName val="기타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자료"/>
      <sheetName val="자료 (2)"/>
      <sheetName val="모델"/>
      <sheetName val="가격정보"/>
      <sheetName val="02.설비등급기준표"/>
      <sheetName val="대리점판정"/>
      <sheetName val="1월"/>
      <sheetName val="해피콜"/>
      <sheetName val="자료_(2)"/>
      <sheetName val="02_설비등급기준표"/>
      <sheetName val="8월특판매출원가"/>
      <sheetName val="조절판"/>
      <sheetName val="홈엔"/>
      <sheetName val="데이터값"/>
      <sheetName val="원형1호맨홀토공수량"/>
      <sheetName val="금구1"/>
      <sheetName val="Sheet6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비주거용"/>
      <sheetName val="BASE"/>
      <sheetName val="9805허가"/>
      <sheetName val="95MAKER"/>
      <sheetName val="MC산출근거"/>
      <sheetName val="Atomic Wt Data"/>
      <sheetName val="수리결과"/>
      <sheetName val="00실적"/>
      <sheetName val="3사인원"/>
      <sheetName val="부대시설"/>
      <sheetName val="Apt내역"/>
      <sheetName val="빙100장비사양"/>
      <sheetName val="금액"/>
      <sheetName val="운영계획"/>
      <sheetName val="미지급금"/>
      <sheetName val="건축도급단가"/>
      <sheetName val="조선용암면"/>
      <sheetName val="실행단가"/>
      <sheetName val="1"/>
      <sheetName val="예산실적전체당월"/>
      <sheetName val="허가면적(6.22)"/>
      <sheetName val="유형별 (6.22)"/>
      <sheetName val="유형별 (5.14)"/>
      <sheetName val="허가면적(5.18)"/>
      <sheetName val="허가면적(5.12)10%"/>
      <sheetName val="허가면적(5.12)5%"/>
      <sheetName val="허가면적(5.12)5% (2)"/>
      <sheetName val="허가면적(5.12) (2)"/>
      <sheetName val="내용2 (2.27) "/>
      <sheetName val="총괄"/>
      <sheetName val="주거용"/>
      <sheetName val="주거용 (2)"/>
      <sheetName val="건설투자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산출근거"/>
      <sheetName val="승용"/>
      <sheetName val="원본"/>
      <sheetName val="GC산출"/>
      <sheetName val="5사남"/>
      <sheetName val="골프모래"/>
      <sheetName val="제품원재"/>
      <sheetName val="제안서"/>
      <sheetName val="행정표준(1)"/>
      <sheetName val="행정표준(2)"/>
      <sheetName val="단가"/>
      <sheetName val="#REF"/>
      <sheetName val="000000"/>
      <sheetName val="LEGEND"/>
      <sheetName val="년차수당"/>
      <sheetName val="1을"/>
      <sheetName val="VA_code"/>
      <sheetName val="건재양식"/>
      <sheetName val="건재"/>
      <sheetName val="생략채권"/>
      <sheetName val="유리"/>
      <sheetName val="PVC"/>
      <sheetName val="일년TOTAL"/>
      <sheetName val="코드표(세무증빙표)"/>
      <sheetName val="건설성적"/>
      <sheetName val="월간"/>
      <sheetName val="부재예실"/>
      <sheetName val=" 17. 유기소재.xlsx"/>
      <sheetName val="배합비(99-05-25)"/>
      <sheetName val="95년기준조정"/>
      <sheetName val="부재예실1월"/>
      <sheetName val="피벗 (2)"/>
      <sheetName val="신규DEP"/>
      <sheetName val="5.세운W-A"/>
      <sheetName val="RD제품개발투자비(매가)"/>
      <sheetName val="5쪽"/>
      <sheetName val="판촉계획(고정)"/>
      <sheetName val="투찰추정"/>
      <sheetName val="입찰안"/>
      <sheetName val="이자율"/>
      <sheetName val="전체LIST"/>
      <sheetName val="반품상세"/>
      <sheetName val="guard(mac)"/>
      <sheetName val="VXXXXXXX"/>
      <sheetName val="tggwan(mac)"/>
      <sheetName val="건    재"/>
      <sheetName val="차량별점검"/>
      <sheetName val="engline"/>
      <sheetName val="출장거리"/>
      <sheetName val="손료기준-공사부구두문의"/>
      <sheetName val="97년 추정"/>
      <sheetName val="04월계획"/>
      <sheetName val="12월실적"/>
      <sheetName val="단가대비표"/>
      <sheetName val="당월실적"/>
      <sheetName val="구분자룩업"/>
      <sheetName val="1분기용기보증금산정"/>
      <sheetName val="DATA"/>
      <sheetName val="투자예산"/>
      <sheetName val="초과사유"/>
      <sheetName val="CMC ellipse"/>
      <sheetName val="Sheet4"/>
      <sheetName val="선급법인세"/>
      <sheetName val="tabl"/>
      <sheetName val="Sheet1"/>
      <sheetName val="LAB설비"/>
      <sheetName val="통계자료"/>
      <sheetName val="04월실적"/>
      <sheetName val="표지"/>
      <sheetName val="자체실적1Q"/>
      <sheetName val="항목(1)"/>
      <sheetName val="협조전"/>
      <sheetName val="機器明細(MC)"/>
      <sheetName val="기타수당"/>
      <sheetName val="연차수당"/>
      <sheetName val="11가공(유형구분)"/>
      <sheetName val="Sheet2 (2)"/>
      <sheetName val="Listvalues"/>
      <sheetName val="개설수"/>
      <sheetName val="OD5000"/>
      <sheetName val="report_20"/>
      <sheetName val="camera_30"/>
      <sheetName val="KPI(전산)"/>
      <sheetName val="전년실적"/>
      <sheetName val="4"/>
      <sheetName val="기초생년월일"/>
      <sheetName val="배합비(2,3.4분기)"/>
      <sheetName val="계획08"/>
      <sheetName val="KSHAHU-6"/>
      <sheetName val="결론"/>
      <sheetName val="판매 계획"/>
      <sheetName val="2-8"/>
      <sheetName val="10"/>
      <sheetName val="90"/>
      <sheetName val="40"/>
      <sheetName val="50"/>
      <sheetName val="60"/>
      <sheetName val="70"/>
      <sheetName val="camera_10"/>
      <sheetName val="1월"/>
      <sheetName val="코드표"/>
      <sheetName val="03년 손익"/>
      <sheetName val="기본"/>
      <sheetName val="매트"/>
      <sheetName val="사이즈"/>
      <sheetName val="용융"/>
      <sheetName val="티슈"/>
      <sheetName val="로봇소프트플랫폼_기술분류"/>
      <sheetName val="운영자금차입금"/>
      <sheetName val="미확인"/>
      <sheetName val="현재담보"/>
      <sheetName val="실적(2안)"/>
      <sheetName val="대전-교대(A1-A2)"/>
      <sheetName val="보증금(전신전화가입권)"/>
      <sheetName val="미착기계"/>
      <sheetName val="예산M11A"/>
      <sheetName val="구분자"/>
      <sheetName val="주간예상실적(공업)"/>
      <sheetName val="Finished Goods "/>
      <sheetName val="누계 내외장재 비율"/>
      <sheetName val="건재0001"/>
      <sheetName val="차수"/>
      <sheetName val="Sheet2"/>
      <sheetName val="일위대가목록"/>
      <sheetName val="2012년경영자면담자료.xlsx"/>
      <sheetName val="정보매체A동"/>
      <sheetName val="일위대가"/>
      <sheetName val="S"/>
      <sheetName val="울산(코드별규격)"/>
      <sheetName val="보증금(판)"/>
      <sheetName val="판1부"/>
      <sheetName val="월별수입"/>
      <sheetName val="원재료비 UP-DATE"/>
      <sheetName val="과제"/>
      <sheetName val="2.대외공문"/>
      <sheetName val="박두익"/>
      <sheetName val="PDP"/>
      <sheetName val="수율추이"/>
      <sheetName val="세부(종합)"/>
      <sheetName val="조명일위"/>
      <sheetName val="생산판매재고"/>
      <sheetName val="9월누계(산지계)"/>
      <sheetName val=" 10개년 장기 판매계획 양식(산업용_플랜트).xlsx"/>
      <sheetName val="도입리스트"/>
      <sheetName val="주별납기"/>
      <sheetName val="2"/>
      <sheetName val="9907협력"/>
      <sheetName val="지부전체"/>
      <sheetName val="준검 내역서"/>
      <sheetName val="포장"/>
      <sheetName val="2003년 합계"/>
      <sheetName val="실행내역서(DCU)"/>
      <sheetName val="가설재손료"/>
      <sheetName val="인원계획"/>
      <sheetName val="참고.반영율"/>
      <sheetName val="3.붙이기"/>
      <sheetName val="판매추정"/>
      <sheetName val="토지면적"/>
      <sheetName val="1인당GDP"/>
      <sheetName val="시도별추계인구"/>
      <sheetName val="미착재고현황전주"/>
      <sheetName val="손익11"/>
      <sheetName val="6월보고실적현황"/>
      <sheetName val="기초일위"/>
      <sheetName val="시설일위"/>
      <sheetName val="내역"/>
      <sheetName val="패티"/>
      <sheetName val="소스"/>
      <sheetName val="을-ATYPE"/>
      <sheetName val="4월정산"/>
      <sheetName val="3월정산"/>
      <sheetName val="7월정산(8월)전체"/>
      <sheetName val="8월씨마크"/>
      <sheetName val="10월정산(9월사용-1)"/>
      <sheetName val="wall"/>
      <sheetName val="Front"/>
      <sheetName val="최종가공"/>
      <sheetName val="금강투자2000"/>
      <sheetName val="2013년누계불량채권"/>
      <sheetName val="2013년누계"/>
      <sheetName val="R&amp;D"/>
      <sheetName val="해외"/>
      <sheetName val="10월계획"/>
      <sheetName val="직노"/>
      <sheetName val="h-013211-2"/>
      <sheetName val="코드"/>
      <sheetName val="견적집계표"/>
      <sheetName val="거래선유형"/>
      <sheetName val="PATENT"/>
      <sheetName val="1과"/>
      <sheetName val="재정"/>
      <sheetName val="TTT"/>
      <sheetName val="지급자재"/>
      <sheetName val="변경내역대비표(2)"/>
      <sheetName val="총괄표"/>
      <sheetName val="판매일반"/>
      <sheetName val="KCB단가코드"/>
      <sheetName val="과단위"/>
      <sheetName val="연료비입력"/>
      <sheetName val=" 갑지"/>
      <sheetName val="특판단가표"/>
      <sheetName val="재고"/>
      <sheetName val="3.현황(창호_라미)"/>
      <sheetName val="3.현황(내외장재_상재)"/>
      <sheetName val="두께별"/>
      <sheetName val=" Global Top (2012-03-06).xlsx"/>
      <sheetName val="출금실적"/>
      <sheetName val="재무현황"/>
      <sheetName val="TOTAL"/>
      <sheetName val="MOTOR"/>
      <sheetName val="정공공사"/>
      <sheetName val="개요"/>
      <sheetName val="기안"/>
      <sheetName val="마케팅"/>
      <sheetName val="목차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캔개발배경"/>
      <sheetName val="캔판매목표"/>
      <sheetName val="시장"/>
      <sheetName val="일정표"/>
      <sheetName val="부서"/>
      <sheetName val="인상효1"/>
      <sheetName val="창호이맥스"/>
      <sheetName val="담보"/>
      <sheetName val="유리이맥스"/>
      <sheetName val="배합변경_1"/>
      <sheetName val="품질경영"/>
      <sheetName val="참고"/>
      <sheetName val="관할"/>
      <sheetName val="12"/>
      <sheetName val="품의서"/>
      <sheetName val="3.제품군별 실적(보고용)"/>
      <sheetName val="그래프"/>
      <sheetName val="고정자산"/>
      <sheetName val="매출원가추정"/>
      <sheetName val="매출추정"/>
      <sheetName val="신제품1"/>
      <sheetName val="추가예산"/>
      <sheetName val="자동차표"/>
      <sheetName val="총원"/>
      <sheetName val="지역별수출"/>
      <sheetName val="참조1"/>
      <sheetName val="10월예약현황(씨마크)"/>
      <sheetName val="200005"/>
      <sheetName val="감축 아이템"/>
      <sheetName val="집계표"/>
      <sheetName val="학력조회"/>
      <sheetName val="골조시행"/>
      <sheetName val="집계표(육상)"/>
      <sheetName val="9906"/>
      <sheetName val="방정식그래프"/>
      <sheetName val="SurveyTotals"/>
      <sheetName val="삼성(당산)월하반기"/>
      <sheetName val="연돌일위집계"/>
      <sheetName val="수선계획표"/>
      <sheetName val="매출"/>
      <sheetName val="이맥스"/>
      <sheetName val="성형자료"/>
      <sheetName val="신제품3"/>
      <sheetName val="참조"/>
      <sheetName val="철콘(승대건설)"/>
      <sheetName val="BASE보유"/>
      <sheetName val="참조자료"/>
      <sheetName val="차액보증"/>
      <sheetName val="사업소득자세수추계"/>
      <sheetName val="한강운반비"/>
      <sheetName val="★원자재작업용"/>
      <sheetName val="필름(100826)"/>
      <sheetName val="보강재작업용"/>
      <sheetName val="★가격표(2011.03)"/>
      <sheetName val="제품구분"/>
      <sheetName val="200101"/>
      <sheetName val="자료"/>
      <sheetName val="1차설계변경내역"/>
      <sheetName val="B"/>
      <sheetName val="상용"/>
      <sheetName val="기초자료"/>
      <sheetName val="C11F"/>
      <sheetName val="tt-RESIN"/>
      <sheetName val="GRACE"/>
      <sheetName val="출고 자료합계(원본)"/>
      <sheetName val="변경증감내역서"/>
      <sheetName val="1인당매출"/>
      <sheetName val="동해title"/>
      <sheetName val="2월판매"/>
      <sheetName val="석고보드"/>
      <sheetName val="능율"/>
      <sheetName val="석고보드(3호기)"/>
      <sheetName val="관리전폭"/>
      <sheetName val="전체"/>
      <sheetName val="Sheet3"/>
      <sheetName val="지질조사"/>
      <sheetName val="3.수익성향상"/>
      <sheetName val="실행예산"/>
      <sheetName val="2공구산출내역"/>
      <sheetName val="기술자문 현재진행인력(기존+신규)"/>
      <sheetName val="CAT_5"/>
      <sheetName val="배합비(99-06-15)"/>
      <sheetName val="홈씨씨 기존 제상품 매출 거래선 LIST"/>
      <sheetName val="2-2.매출분석"/>
      <sheetName val="기준데이터"/>
      <sheetName val="생산일정"/>
      <sheetName val="일위대가표"/>
      <sheetName val="단위원가"/>
      <sheetName val="2000년 신제품 내역"/>
      <sheetName val="인벤토리총괄표"/>
      <sheetName val="SV SPEC."/>
      <sheetName val="작업추진 계획(일정)"/>
      <sheetName val="FY2006 KCC UP"/>
      <sheetName val="제품(수출)매출"/>
      <sheetName val="상품매출"/>
      <sheetName val="재고 "/>
      <sheetName val="계획담당자참고"/>
      <sheetName val="01월실적값복사"/>
      <sheetName val="01월예산값복사"/>
      <sheetName val="RW"/>
      <sheetName val="주문량"/>
      <sheetName val="이송중"/>
      <sheetName val="원단위 산출"/>
      <sheetName val="고정비 내역"/>
      <sheetName val="변동비 내역"/>
      <sheetName val="Tbom-tot"/>
      <sheetName val="작성기준"/>
      <sheetName val="95D"/>
      <sheetName val="94D"/>
      <sheetName val="예산입력(전)"/>
      <sheetName val="현황보고"/>
      <sheetName val="운반"/>
      <sheetName val="Code(전체)"/>
      <sheetName val="★15년 기능직 인센티브 지급안(15.10.13)-최종("/>
      <sheetName val=" ◎2016년 기본예산 공장 - 투자 집계-2016022"/>
      <sheetName val=" 2.건설사별 품목별 연도별 실적(9월3주차)_건설상품("/>
      <sheetName val=" 장외영향평가 진행 사항.xlsx"/>
      <sheetName val="세부추진"/>
      <sheetName val="상용_mp"/>
      <sheetName val=" 10개년 장기 판매계획 양식.xlsx"/>
      <sheetName val=" 장기재고 현황 (6월).xlsx"/>
      <sheetName val="실행철강하도"/>
      <sheetName val="동재"/>
      <sheetName val="변경"/>
      <sheetName val="GEUB "/>
      <sheetName val="본문"/>
      <sheetName val="공비대비"/>
      <sheetName val="2002-12"/>
      <sheetName val="2003-01"/>
      <sheetName val="★14 기본투자예산_ver3(신설수지 추가).xlsx"/>
      <sheetName val="물량투입계획"/>
      <sheetName val="FC-101"/>
      <sheetName val="Sheet1 (2)"/>
      <sheetName val="3월"/>
      <sheetName val="1분기보증금산정"/>
      <sheetName val="기능인사자료"/>
      <sheetName val="전부서공통"/>
      <sheetName val="공문"/>
      <sheetName val="설계조건"/>
      <sheetName val="경비비교표(예실)"/>
      <sheetName val="조회서"/>
      <sheetName val="이토변실"/>
      <sheetName val="원가배부작업시간"/>
      <sheetName val=""/>
      <sheetName val="FBN3 총괄"/>
      <sheetName val="3-31"/>
      <sheetName val="일위대가목차"/>
      <sheetName val="원가계산서"/>
      <sheetName val="자본금"/>
      <sheetName val="시산표"/>
      <sheetName val="보전목록"/>
      <sheetName val="단종품목"/>
      <sheetName val="Shortage list(KCK)"/>
      <sheetName val="목록"/>
      <sheetName val="사업장"/>
      <sheetName val="권역"/>
      <sheetName val="유림골조"/>
      <sheetName val="매입수불자재"/>
      <sheetName val="IDONG"/>
      <sheetName val="1995년 섹터별 매출"/>
      <sheetName val="매출수정"/>
      <sheetName val="10.31"/>
      <sheetName val="상품보조수불"/>
      <sheetName val="제조원가계산서 (2)"/>
      <sheetName val="제품입고(생산)"/>
      <sheetName val="TIBURON"/>
      <sheetName val="배서어음명세서"/>
      <sheetName val="내역정리"/>
      <sheetName val=" 2021년 판매비 기본예산.xlsx"/>
      <sheetName val=" 견적서"/>
      <sheetName val="작성근거"/>
      <sheetName val="구동"/>
      <sheetName val="단가표(사무용품)"/>
      <sheetName val="단가표(전산용품)"/>
      <sheetName val="설계판촉2과"/>
      <sheetName val="TOTAL_BOQ"/>
      <sheetName val="3.PT개발계획"/>
      <sheetName val="견적서"/>
      <sheetName val="LU"/>
      <sheetName val="토공사(흙막이)"/>
    </sheetNames>
    <sheetDataSet>
      <sheetData sheetId="0" refreshError="1">
        <row r="4">
          <cell r="D4">
            <v>17609</v>
          </cell>
        </row>
        <row r="5">
          <cell r="D5">
            <v>21024</v>
          </cell>
        </row>
        <row r="6">
          <cell r="D6">
            <v>26344</v>
          </cell>
        </row>
        <row r="7">
          <cell r="D7">
            <v>30634</v>
          </cell>
        </row>
        <row r="8">
          <cell r="D8">
            <v>41107</v>
          </cell>
        </row>
        <row r="9">
          <cell r="D9">
            <v>45493</v>
          </cell>
        </row>
        <row r="10">
          <cell r="D10">
            <v>46124</v>
          </cell>
        </row>
        <row r="11">
          <cell r="D11">
            <v>39933</v>
          </cell>
        </row>
        <row r="12">
          <cell r="D12">
            <v>48491</v>
          </cell>
        </row>
        <row r="13">
          <cell r="D13">
            <v>52834</v>
          </cell>
        </row>
        <row r="14">
          <cell r="D14">
            <v>54714</v>
          </cell>
        </row>
        <row r="15">
          <cell r="D15">
            <v>52757</v>
          </cell>
        </row>
        <row r="16">
          <cell r="D16">
            <v>50697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4">
          <cell r="D4">
            <v>17609</v>
          </cell>
        </row>
      </sheetData>
      <sheetData sheetId="24">
        <row r="4">
          <cell r="D4">
            <v>17609</v>
          </cell>
        </row>
      </sheetData>
      <sheetData sheetId="25">
        <row r="4">
          <cell r="D4">
            <v>17609</v>
          </cell>
        </row>
      </sheetData>
      <sheetData sheetId="26">
        <row r="4">
          <cell r="D4">
            <v>17609</v>
          </cell>
        </row>
      </sheetData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의뢰건"/>
      <sheetName val="의뢰건 (2)"/>
      <sheetName val="Sheet1"/>
      <sheetName val="유가증권미수"/>
      <sheetName val="회사정보"/>
      <sheetName val="현금"/>
      <sheetName val="리츠"/>
      <sheetName val="대리점판정"/>
      <sheetName val="마감사양"/>
      <sheetName val="생산지시-FRP방수판"/>
      <sheetName val="생산지시-벽판넬"/>
      <sheetName val="천장판넬"/>
      <sheetName val="의뢰건_(2)"/>
      <sheetName val="#REF"/>
      <sheetName val="수리결과"/>
      <sheetName val="02.설비등급기준표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특약"/>
      <sheetName val="전문점"/>
      <sheetName val="총계"/>
      <sheetName val="Sheet1"/>
      <sheetName val="11월누계"/>
      <sheetName val="총계data"/>
      <sheetName val="총계data (2)"/>
      <sheetName val="DATA"/>
      <sheetName val="1"/>
      <sheetName val="부재예실"/>
      <sheetName val="수리결과"/>
      <sheetName val="보증금"/>
      <sheetName val="산정(1부)"/>
      <sheetName val="당월실적"/>
      <sheetName val="보증금(창)"/>
      <sheetName val="산정"/>
      <sheetName val="전년실적(창)"/>
      <sheetName val="11가공(유형구분)"/>
      <sheetName val="비주거용"/>
      <sheetName val="판매일반"/>
      <sheetName val="Sheet3"/>
      <sheetName val="Sheet2"/>
      <sheetName val="배합비(99-05-25)"/>
      <sheetName val="코드"/>
      <sheetName val="단가"/>
      <sheetName val="0311실란트전문점현황(1217DATA)"/>
      <sheetName val="예산실적전체당월"/>
      <sheetName val="1을"/>
      <sheetName val="VXXXXXXX"/>
      <sheetName val="#REF"/>
      <sheetName val="tggwan(mac)"/>
      <sheetName val="guard(mac)"/>
      <sheetName val="GC산출"/>
      <sheetName val="카메라"/>
      <sheetName val="00실적"/>
      <sheetName val="미지급금"/>
      <sheetName val="산출근거"/>
      <sheetName val="데이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,목차"/>
      <sheetName val="케이씨씨위계표"/>
      <sheetName val="전부서공통"/>
      <sheetName val="일반관리"/>
      <sheetName val="연구"/>
      <sheetName val="영업,판매"/>
      <sheetName val="생산_공장"/>
      <sheetName val="품질환경"/>
      <sheetName val="상품관리"/>
      <sheetName val="홈씨씨매장"/>
      <sheetName val="해외법인조직위계표"/>
      <sheetName val="해외부문전결규정"/>
      <sheetName val="생산판매재고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최종본"/>
      <sheetName val="출력본"/>
      <sheetName val="해피콜"/>
      <sheetName val="생산매출 (3)"/>
      <sheetName val="생산현황"/>
      <sheetName val="공사별5"/>
      <sheetName val="지우지말것"/>
      <sheetName val="노무비"/>
      <sheetName val="절대지우지말것"/>
      <sheetName val="본부별매출"/>
      <sheetName val="내역서"/>
      <sheetName val="코드"/>
      <sheetName val="내자"/>
      <sheetName val="T"/>
      <sheetName val="수납몸통"/>
      <sheetName val="실측입력"/>
      <sheetName val="생산매출_(3)"/>
      <sheetName val="생산매출_(3)1"/>
      <sheetName val="산출명세서"/>
      <sheetName val="AS유보금 수금계획"/>
      <sheetName val="의뢰건 (2)"/>
      <sheetName val="AS유보금_수금계획"/>
      <sheetName val="의뢰건_(2)"/>
      <sheetName val="5월앞장해피콜"/>
      <sheetName val="목록"/>
      <sheetName val="02.설비등급기준표"/>
      <sheetName val="#REF"/>
      <sheetName val="협력점직원"/>
      <sheetName val="AS유보금_수금계획1"/>
      <sheetName val="의뢰건_(2)1"/>
      <sheetName val="257A1"/>
      <sheetName val="설비리스트"/>
      <sheetName val="설계명세서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모델"/>
      <sheetName val="모델SET"/>
      <sheetName val="장코드"/>
      <sheetName val="완제품DR"/>
      <sheetName val="완제품CC"/>
      <sheetName val="완제품판넬"/>
      <sheetName val="완제품상판"/>
      <sheetName val="상품류CODE"/>
      <sheetName val="#3000 오크입고가"/>
      <sheetName val="판넬류"/>
      <sheetName val="해피콜"/>
      <sheetName val="요약BS"/>
      <sheetName val="2004 신제품_기준정보생성_수정본"/>
      <sheetName val="Sheet1"/>
      <sheetName val="부품"/>
      <sheetName val="2012년2월HB시공스케쥴"/>
      <sheetName val="실측입력"/>
      <sheetName val="기준정보"/>
      <sheetName val="의뢰건 (2)"/>
      <sheetName val="DATE"/>
      <sheetName val="생산매출 (3)"/>
      <sheetName val="생산현황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조선건조"/>
      <sheetName val="설비투자"/>
      <sheetName val="건축허가"/>
      <sheetName val="부서장양식"/>
      <sheetName val="표지"/>
      <sheetName val="주전무양식"/>
      <sheetName val="주전무양식 (2)"/>
      <sheetName val="MW"/>
      <sheetName val="제품별"/>
      <sheetName val="용도별 구분"/>
      <sheetName val="LW"/>
      <sheetName val="LW 용도별"/>
      <sheetName val="lw산출근거"/>
      <sheetName val="CW"/>
      <sheetName val="CW산출근거"/>
      <sheetName val="MMB"/>
      <sheetName val="MMB증감요인"/>
      <sheetName val="조선용MMB"/>
      <sheetName val="MC"/>
      <sheetName val="MC증감요인"/>
      <sheetName val="MC산출근거"/>
      <sheetName val="조선용MC"/>
      <sheetName val="RT"/>
      <sheetName val="RT산출"/>
      <sheetName val="RT수량환산"/>
      <sheetName val="RT 총시장"/>
      <sheetName val="부서장양식 (2)"/>
      <sheetName val="GT"/>
      <sheetName val="GT수량환산1"/>
      <sheetName val="GT근거2"/>
      <sheetName val="GT근거1"/>
      <sheetName val="Sheet1"/>
      <sheetName val="GT수량환산"/>
      <sheetName val="H형강"/>
      <sheetName val="lw산출근거(2)"/>
      <sheetName val="산출근거"/>
      <sheetName val="비주거용"/>
      <sheetName val="출장거리"/>
      <sheetName val="조선용암면"/>
      <sheetName val="건재양식"/>
      <sheetName val="NC1643EA"/>
      <sheetName val="부재예실1월"/>
      <sheetName val="금강투자2000"/>
      <sheetName val="건설성적"/>
      <sheetName val="월별수입"/>
      <sheetName val="집계"/>
      <sheetName val="원본1"/>
      <sheetName val="수리결과"/>
      <sheetName val="손료기준-공사부구두문의"/>
      <sheetName val="주별납기"/>
      <sheetName val="승용"/>
      <sheetName val="1을"/>
      <sheetName val="5쪽"/>
      <sheetName val="3월"/>
      <sheetName val="kcr770s1"/>
      <sheetName val="거래선별 유형"/>
      <sheetName val="부서"/>
      <sheetName val="배합비(99-05-25)"/>
      <sheetName val="실적"/>
      <sheetName val="배합비(2,3.4분기)"/>
      <sheetName val="예산실적전체당월"/>
      <sheetName val="생산판매재고"/>
      <sheetName val="년차수당"/>
      <sheetName val="95년기준조정"/>
      <sheetName val="GC산출"/>
      <sheetName val="가설재손료"/>
      <sheetName val="인원계획"/>
      <sheetName val="고려성적"/>
      <sheetName val="참고.반영율"/>
      <sheetName val="매트"/>
      <sheetName val="사이즈"/>
      <sheetName val="용융"/>
      <sheetName val="티슈"/>
      <sheetName val="PATENT"/>
      <sheetName val="벽체면적당일위대가"/>
      <sheetName val="코드"/>
      <sheetName val="성형생산량"/>
      <sheetName val="업무연락"/>
      <sheetName val="세부(종합)"/>
      <sheetName val="코드표"/>
      <sheetName val="사업개요"/>
      <sheetName val="입력란"/>
      <sheetName val="DB"/>
      <sheetName val="PVC"/>
      <sheetName val="건재"/>
      <sheetName val="생략채권"/>
      <sheetName val="유리"/>
      <sheetName val="MH_생산"/>
      <sheetName val="원단위 산출"/>
      <sheetName val="고정비 내역"/>
      <sheetName val="변동비 내역"/>
      <sheetName val="수입비용1021"/>
      <sheetName val="현장코드"/>
      <sheetName val="건재0001"/>
      <sheetName val="주간예상실적(공업)"/>
      <sheetName val="BASE"/>
      <sheetName val="3사인원"/>
      <sheetName val="2004생산량"/>
      <sheetName val="원재료단가"/>
      <sheetName val="16년팀별"/>
      <sheetName val="로봇소프트플랫폼_기술분류"/>
      <sheetName val="판매일반"/>
      <sheetName val="Sheet3"/>
      <sheetName val="Sheet2"/>
      <sheetName val="#REF"/>
      <sheetName val="일년TOTAL"/>
      <sheetName val="신제품1"/>
      <sheetName val="신제품3"/>
      <sheetName val="00실적"/>
      <sheetName val="부재예실"/>
      <sheetName val="학교명단"/>
      <sheetName val="KAIS-당월(자체)"/>
      <sheetName val="단가"/>
      <sheetName val="12월실적"/>
      <sheetName val="현재담보"/>
      <sheetName val="운영자금차입금"/>
      <sheetName val="2002-12"/>
      <sheetName val="2003-01"/>
      <sheetName val="공장평가(12-1분기)(양식변경안).xlsx"/>
      <sheetName val="지급자재"/>
      <sheetName val="DAT(목표)"/>
      <sheetName val="투자예산"/>
      <sheetName val="전부서공통"/>
      <sheetName val="기준데이터"/>
      <sheetName val="상용"/>
      <sheetName val="isbg"/>
      <sheetName val="소개"/>
      <sheetName val="일위대가"/>
      <sheetName val="2-2.매출분석"/>
      <sheetName val="성형자료"/>
      <sheetName val="속성"/>
      <sheetName val="추진실적그래프"/>
      <sheetName val="1995년 섹터별 매출"/>
      <sheetName val="기초생년월일"/>
      <sheetName val="판매계획"/>
      <sheetName val="Sheet4"/>
      <sheetName val="GEUB "/>
      <sheetName val="수량집계"/>
      <sheetName val="수량산출"/>
      <sheetName val="tsuga"/>
      <sheetName val="메인생산량"/>
      <sheetName val="RT난출2 (3)"/>
      <sheetName val="상품보조수불"/>
      <sheetName val="모델"/>
      <sheetName val="중앙(MOT)"/>
      <sheetName val="품의플로"/>
      <sheetName val="울산상비리스트"/>
      <sheetName val="차량별점검"/>
      <sheetName val="채무-pbc"/>
      <sheetName val="bs"/>
      <sheetName val="매출"/>
      <sheetName val="통합pool출력"/>
      <sheetName val="18년기본예산및17년추정실적"/>
      <sheetName val="6월"/>
      <sheetName val="권역,사업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신부품명"/>
      <sheetName val="부품코드몸통"/>
      <sheetName val="부품"/>
      <sheetName val="부품별품목"/>
      <sheetName val="품목별부품"/>
      <sheetName val="품목코드명칭"/>
      <sheetName val="Sheet3"/>
      <sheetName val="Sheet4"/>
      <sheetName val="Sheet5"/>
      <sheetName val="Sheet6"/>
      <sheetName val="Sheet7"/>
      <sheetName val="Sheet8"/>
      <sheetName val="Sheet9"/>
      <sheetName val="일반기계제작"/>
      <sheetName val="총정리"/>
      <sheetName val="모델"/>
      <sheetName val="기준정보"/>
      <sheetName val="공사별5 "/>
      <sheetName val="해피콜"/>
      <sheetName val="NPS 조사기록 (직매장)"/>
      <sheetName val="참조"/>
      <sheetName val="대외공문"/>
      <sheetName val="공사별5_"/>
      <sheetName val="NPS_조사기록_(직매장)"/>
      <sheetName val="2012년2월HB시공스케쥴"/>
      <sheetName val="실측입력"/>
      <sheetName val="MC산출근거"/>
      <sheetName val="영역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약식조직"/>
      <sheetName val="부단위"/>
      <sheetName val="부단위(회장보고용)"/>
      <sheetName val="課단위"/>
      <sheetName val="課단위 (회장보고용)"/>
      <sheetName val="課단위 (회장보고용) -업무분장"/>
      <sheetName val="1"/>
      <sheetName val="FG"/>
      <sheetName val="이자율"/>
      <sheetName val="투자예산"/>
      <sheetName val="비주거용"/>
      <sheetName val="결론"/>
      <sheetName val="機器明細(MC)"/>
      <sheetName val="00실적"/>
      <sheetName val="경성자금"/>
      <sheetName val="설계"/>
      <sheetName val="품셈TABLE"/>
      <sheetName val="일위대가목록"/>
      <sheetName val="건설성적"/>
      <sheetName val="3사인원"/>
      <sheetName val="실행예산"/>
      <sheetName val="생산판매재고"/>
      <sheetName val="부재예실1월"/>
      <sheetName val="98BU안"/>
      <sheetName val="예산입력(전)"/>
      <sheetName val="배합비(99-05-25)"/>
      <sheetName val="예산실적전체당월"/>
      <sheetName val="손료기준-공사부구두문의"/>
      <sheetName val="주별납기"/>
      <sheetName val="배합비(2,3.4분기)"/>
      <sheetName val="일년TOTAL"/>
      <sheetName val="지급자재"/>
      <sheetName val="산출근거"/>
      <sheetName val="판매일반"/>
      <sheetName val="초과사유"/>
      <sheetName val="월간"/>
      <sheetName val="두께별"/>
      <sheetName val="생산일정"/>
      <sheetName val="부재예실"/>
      <sheetName val="유동자산"/>
      <sheetName val="항목(1)"/>
      <sheetName val="표지"/>
      <sheetName val="건    재"/>
      <sheetName val="BAL"/>
      <sheetName val="준검 내역서"/>
      <sheetName val="Sheet4"/>
      <sheetName val=" 4. 무기소재_석고보드기술.xlsx"/>
      <sheetName val="OD5000"/>
      <sheetName val="기술공여선배합송부현황DB(도료)"/>
      <sheetName val="제품원재"/>
      <sheetName val="GC산출"/>
      <sheetName val="집계표"/>
      <sheetName val="1월"/>
      <sheetName val="건재양식"/>
      <sheetName val="차량별점검"/>
      <sheetName val="1을"/>
      <sheetName val="Code(전체)"/>
      <sheetName val="Salary Table Admin"/>
      <sheetName val="Dec 2012 Salary"/>
      <sheetName val="Salary Table Production"/>
      <sheetName val="Salary Table Worker"/>
      <sheetName val="과단위"/>
      <sheetName val="손익11"/>
      <sheetName val="95MAKER"/>
      <sheetName val="12"/>
      <sheetName val="품의서"/>
      <sheetName val="가격조회"/>
      <sheetName val="MC산출근거"/>
      <sheetName val="간접비"/>
      <sheetName val="지부전체"/>
      <sheetName val="총제품수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C산출"/>
      <sheetName val="GW"/>
      <sheetName val="GC"/>
      <sheetName val="GMB"/>
      <sheetName val="용도별"/>
      <sheetName val="Sheet3"/>
      <sheetName val="유리면수정"/>
      <sheetName val="건설성적"/>
      <sheetName val="MC산출근거"/>
      <sheetName val="실행철강하도"/>
      <sheetName val="투자예산"/>
      <sheetName val="본문"/>
      <sheetName val="세부(종합)"/>
      <sheetName val="예산입력(전)"/>
      <sheetName val="지급자재"/>
      <sheetName val="유리면(990309)"/>
      <sheetName val="예산실적전체당월"/>
      <sheetName val="여과지동"/>
      <sheetName val="기초자료"/>
      <sheetName val="차수"/>
      <sheetName val="추가예산"/>
      <sheetName val="제품원재"/>
      <sheetName val="대외공문"/>
      <sheetName val="원하대비"/>
      <sheetName val="원도급"/>
      <sheetName val="하도급"/>
      <sheetName val="건재양식"/>
      <sheetName val="CAUDIT"/>
      <sheetName val="본예산"/>
      <sheetName val="부재예실"/>
      <sheetName val="배합비(99-05-25)"/>
      <sheetName val="변경증감내역서"/>
      <sheetName val="실행예산"/>
      <sheetName val="1"/>
      <sheetName val="참고자료(PM중점과제)"/>
      <sheetName val="비주거용"/>
      <sheetName val="산출근거"/>
      <sheetName val="조선용암면"/>
      <sheetName val="9907협력"/>
      <sheetName val="코드"/>
      <sheetName val="재정"/>
      <sheetName val="TTT"/>
      <sheetName val="이자율"/>
      <sheetName val="TOTAL"/>
      <sheetName val="두께별"/>
      <sheetName val="1을"/>
      <sheetName val="투자양식"/>
      <sheetName val="총괄표"/>
      <sheetName val="기타수당"/>
      <sheetName val="연차수당"/>
      <sheetName val="機器明細(MC)"/>
      <sheetName val="통계자료"/>
      <sheetName val="수입"/>
      <sheetName val="PVC"/>
      <sheetName val="CODE"/>
      <sheetName val="OD5000"/>
      <sheetName val="db"/>
      <sheetName val="2.대외공문"/>
      <sheetName val="인건비(010330)"/>
      <sheetName val="규격"/>
      <sheetName val="MOTOR"/>
      <sheetName val="준검 내역서"/>
      <sheetName val=" 갑지"/>
      <sheetName val="97년 추정"/>
      <sheetName val="설계조건"/>
      <sheetName val="당월실적"/>
      <sheetName val="1분기보증금산정"/>
      <sheetName val="물량10월"/>
      <sheetName val="tvr320"/>
      <sheetName val="수지공장 ITEM별 작업시간"/>
      <sheetName val="typecode"/>
      <sheetName val="부재예실1월"/>
      <sheetName val="Sheet6"/>
      <sheetName val="Sheet5"/>
      <sheetName val="E-BDATA"/>
      <sheetName val="기초일위"/>
      <sheetName val="시설일위"/>
      <sheetName val="조명일위"/>
      <sheetName val="총내역서"/>
      <sheetName val="Sheet1"/>
      <sheetName val="LSH CODE"/>
      <sheetName val="누계 내외장재 비율"/>
      <sheetName val="불만처리현황"/>
      <sheetName val="부착품"/>
      <sheetName val="성형자료"/>
      <sheetName val="용해1"/>
      <sheetName val="용해2"/>
      <sheetName val="용해3"/>
      <sheetName val="용해5"/>
      <sheetName val="금강투자2000"/>
      <sheetName val="관리재고4월(~08년1월)"/>
      <sheetName val="실행내역서(DCU)"/>
      <sheetName val="6월"/>
      <sheetName val="Sheet2"/>
      <sheetName val="조정유형06"/>
      <sheetName val="고려성적"/>
      <sheetName val="일년TOTAL"/>
      <sheetName val="재고"/>
      <sheetName val="9월누계(산지계)"/>
      <sheetName val="수리결과"/>
      <sheetName val="권역코드(0603)"/>
      <sheetName val="SUMMARY(S)"/>
      <sheetName val="00실적"/>
      <sheetName val="12년실적"/>
      <sheetName val="만년달력"/>
      <sheetName val="참고.반영율"/>
      <sheetName val="매트"/>
      <sheetName val="사이즈"/>
      <sheetName val="용융"/>
      <sheetName val="티슈"/>
      <sheetName val="출장거리"/>
      <sheetName val="도입리스트"/>
      <sheetName val="진행율"/>
      <sheetName val="DAT(목표)"/>
      <sheetName val="업무연락"/>
      <sheetName val="3.수익성향상"/>
      <sheetName val="북부"/>
      <sheetName val="손료기준-공사부구두문의"/>
      <sheetName val="신제품1"/>
      <sheetName val="신제품2"/>
      <sheetName val="신제품3"/>
      <sheetName val="예산(09년_WHITE)"/>
      <sheetName val="2월판매"/>
      <sheetName val="XL4Poppy"/>
      <sheetName val="대비2"/>
      <sheetName val="부서"/>
      <sheetName val="참고"/>
      <sheetName val="월,누계 (2)"/>
      <sheetName val="작업"/>
      <sheetName val="2008 건재예산$100기준"/>
      <sheetName val="콘크리트타설집계표"/>
      <sheetName val="DATA-페놀수지"/>
      <sheetName val="MAKER 별(3)"/>
      <sheetName val="일위대가"/>
      <sheetName val="배합비(2,3.4분기)"/>
      <sheetName val="BASE"/>
      <sheetName val="가설재손료"/>
      <sheetName val="인원계획"/>
      <sheetName val="수주계획 (3)"/>
      <sheetName val="주간예상실적(공업)"/>
      <sheetName val="3월"/>
      <sheetName val="코드표"/>
      <sheetName val="5쪽"/>
      <sheetName val="생산판매재고"/>
      <sheetName val="피벗(월별아이템설계구분)"/>
      <sheetName val="개인별 아이템목표"/>
      <sheetName val="기능인사자료"/>
      <sheetName val="★14 기본투자예산_ver3(신설수지 추가).xlsx"/>
      <sheetName val="연락처"/>
      <sheetName val="Sheet4"/>
      <sheetName val=" 견적서"/>
      <sheetName val="물량표"/>
      <sheetName val="물량표S"/>
      <sheetName val="홈씨씨 기존 제상품 매출 거래선 LIST"/>
      <sheetName val="집계표"/>
      <sheetName val="수율추이"/>
      <sheetName val="연간rework환소"/>
      <sheetName val="연간rework포장"/>
      <sheetName val="Sheet2 (2)"/>
      <sheetName val="세부추진"/>
      <sheetName val="64164"/>
      <sheetName val="3.현황(창호_라미)"/>
      <sheetName val="3.현황(내외장재_상재)"/>
      <sheetName val="건재"/>
      <sheetName val="생략채권"/>
      <sheetName val="유리"/>
      <sheetName val="원본"/>
      <sheetName val="PAINT"/>
      <sheetName val="SUMMARY"/>
      <sheetName val="KD율"/>
      <sheetName val="기술자문현황(유형별)"/>
      <sheetName val="#93"/>
      <sheetName val="표지"/>
      <sheetName val="C11F"/>
      <sheetName val="POWER"/>
      <sheetName val="3TOP2부_11월 2주차 취합본.xlsx"/>
      <sheetName val="판매일반"/>
      <sheetName val="ID BY INVENTORY"/>
      <sheetName val="상용_mp"/>
      <sheetName val=" OEM상품 매출확대 방안_Ver2.0.xlsx"/>
      <sheetName val="VXXXXXXX"/>
      <sheetName val="95년기준조정"/>
      <sheetName val="GRACE"/>
      <sheetName val="FCU (2)"/>
      <sheetName val="eq_data"/>
      <sheetName val="인원01"/>
      <sheetName val="99기본"/>
      <sheetName val="CMC ellipse"/>
      <sheetName val="6월실적"/>
      <sheetName val="RD제품개발투자비(매가)"/>
      <sheetName val="4"/>
      <sheetName val="#REF"/>
      <sheetName val="COA-17"/>
      <sheetName val="C-18"/>
      <sheetName val="특판단가표"/>
      <sheetName val="월별수입"/>
      <sheetName val="원재료(LC_전체)"/>
      <sheetName val="원재료(전체_전체)"/>
      <sheetName val="당월보"/>
      <sheetName val="전년실적(판)"/>
      <sheetName val="원료"/>
      <sheetName val="단가"/>
      <sheetName val="원단위 산출"/>
      <sheetName val="고정비 내역"/>
      <sheetName val="변동비 내역"/>
      <sheetName val="실행간접비"/>
      <sheetName val="자금운용계획표"/>
      <sheetName val="공문"/>
      <sheetName val="1월"/>
      <sheetName val="판촉계획(고정)"/>
      <sheetName val="제안서"/>
      <sheetName val="행정표준(1)"/>
      <sheetName val="행정표준(2)"/>
      <sheetName val="건    재"/>
      <sheetName val="BASE보유"/>
      <sheetName val="참조자료"/>
      <sheetName val="전체LIST"/>
      <sheetName val="2003년 합계"/>
      <sheetName val="목차"/>
      <sheetName val="협조전"/>
      <sheetName val="원가계산서"/>
      <sheetName val="PumpSpec"/>
      <sheetName val="예산M11A"/>
      <sheetName val="LEGEND"/>
      <sheetName val="VA_code"/>
      <sheetName val="견적집계표"/>
      <sheetName val="BQ"/>
      <sheetName val="연료별 환산계수"/>
      <sheetName val="일위대가표"/>
      <sheetName val="9906"/>
      <sheetName val="지부전체"/>
      <sheetName val="입력란"/>
      <sheetName val="시평"/>
      <sheetName val="초과사유"/>
      <sheetName val="월간"/>
      <sheetName val="피벗 (2)"/>
      <sheetName val="담보"/>
      <sheetName val="창호이맥스"/>
      <sheetName val="유리이맥스"/>
      <sheetName val="RT산출1"/>
      <sheetName val="설계가"/>
      <sheetName val="주별납기"/>
      <sheetName val="KPI(전산)"/>
      <sheetName val="전직원명단_20011108"/>
      <sheetName val="Atomic Wt Data"/>
      <sheetName val="포장"/>
      <sheetName val="정보과 예산(부수자료 언급)"/>
      <sheetName val="센스타일,강화마루 운영(안).xlsx"/>
      <sheetName val="예산(0902)_WHITE"/>
      <sheetName val="11가공(유형구분)"/>
      <sheetName val="드롭다운목록"/>
      <sheetName val="제조원가계산"/>
      <sheetName val="품목별매출"/>
      <sheetName val="2002-12"/>
      <sheetName val="2003-01"/>
      <sheetName val="성형생산량"/>
      <sheetName val="3_29기준"/>
      <sheetName val="PBS"/>
      <sheetName val="주beam"/>
      <sheetName val="95D"/>
      <sheetName val="94D"/>
      <sheetName val="매출예산96"/>
      <sheetName val="S"/>
      <sheetName val="단체(2)"/>
      <sheetName val="2-2.매출분석"/>
      <sheetName val="주거용 (2)"/>
      <sheetName val="2분기산정제품"/>
      <sheetName val="1.능률현황"/>
      <sheetName val="2.호선별예상실적"/>
      <sheetName val="Sheet1 (2)"/>
      <sheetName val="Database"/>
      <sheetName val="CAPVC"/>
      <sheetName val=""/>
      <sheetName val="첨부2 특판단가표"/>
      <sheetName val="2012.1월~현재(법률자문료비교)"/>
      <sheetName val="h-013211-2"/>
      <sheetName val="2013년원재료Brief"/>
      <sheetName val="적용환율"/>
      <sheetName val="간접비내역-1"/>
      <sheetName val="Actual_Size"/>
      <sheetName val="투입 MM"/>
      <sheetName val="B"/>
      <sheetName val="간접비"/>
      <sheetName val="AT310"/>
      <sheetName val="울산 (2)"/>
      <sheetName val="가족수당"/>
      <sheetName val="상조회"/>
      <sheetName val="소득세"/>
      <sheetName val="SALTAB97"/>
      <sheetName val="의보"/>
      <sheetName val="생산직잔업"/>
      <sheetName val="Factor"/>
      <sheetName val="집계표(육상)"/>
      <sheetName val="철근집계표"/>
      <sheetName val="Sheet7"/>
      <sheetName val="실적0902_WHITE"/>
      <sheetName val="3사인원"/>
      <sheetName val="인원계획-미화"/>
      <sheetName val="품의서"/>
      <sheetName val="토사(PE)"/>
      <sheetName val="isbg"/>
      <sheetName val="현재담보"/>
      <sheetName val="대손검토"/>
      <sheetName val="추진실적그래프"/>
      <sheetName val="생산직"/>
      <sheetName val="5월"/>
      <sheetName val="1-6월"/>
      <sheetName val="전부서공통"/>
      <sheetName val="tt-RESIN"/>
      <sheetName val="DB2-순위"/>
      <sheetName val="원료소요량 최종 (2)"/>
      <sheetName val="금융비용"/>
      <sheetName val="Config"/>
      <sheetName val="Scenario"/>
      <sheetName val="수입비용1021"/>
      <sheetName val="현장코드"/>
      <sheetName val="학교명단"/>
      <sheetName val="미수수익"/>
      <sheetName val="bs"/>
      <sheetName val="속성"/>
      <sheetName val="Listvalues"/>
    </sheetNames>
    <sheetDataSet>
      <sheetData sheetId="0" refreshError="1">
        <row r="51">
          <cell r="B51">
            <v>88616</v>
          </cell>
          <cell r="C51">
            <v>59770</v>
          </cell>
          <cell r="D51">
            <v>47983</v>
          </cell>
        </row>
        <row r="52">
          <cell r="B52">
            <v>116421</v>
          </cell>
          <cell r="C52">
            <v>88616</v>
          </cell>
          <cell r="D52">
            <v>59770</v>
          </cell>
        </row>
        <row r="53">
          <cell r="B53">
            <v>105184</v>
          </cell>
          <cell r="C53">
            <v>116421</v>
          </cell>
          <cell r="D53">
            <v>88616</v>
          </cell>
        </row>
        <row r="54">
          <cell r="B54">
            <v>117790</v>
          </cell>
          <cell r="C54">
            <v>105184</v>
          </cell>
          <cell r="D54">
            <v>116421</v>
          </cell>
        </row>
        <row r="55">
          <cell r="B55">
            <v>116221</v>
          </cell>
          <cell r="C55">
            <v>117790</v>
          </cell>
          <cell r="D55">
            <v>105184</v>
          </cell>
        </row>
        <row r="56">
          <cell r="B56">
            <v>117328</v>
          </cell>
          <cell r="C56">
            <v>116221</v>
          </cell>
          <cell r="D56">
            <v>117790</v>
          </cell>
        </row>
        <row r="57">
          <cell r="B57">
            <v>113821</v>
          </cell>
          <cell r="C57">
            <v>117328</v>
          </cell>
          <cell r="D57">
            <v>116221</v>
          </cell>
        </row>
        <row r="58">
          <cell r="B58">
            <v>113374</v>
          </cell>
          <cell r="C58">
            <v>113821</v>
          </cell>
          <cell r="D58">
            <v>117328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C산출"/>
      <sheetName val="GW"/>
      <sheetName val="GC"/>
      <sheetName val="GMB"/>
      <sheetName val="용도별"/>
      <sheetName val="Sheet3"/>
      <sheetName val="유리면수정"/>
      <sheetName val="원가계산서"/>
      <sheetName val="MC산출근거"/>
      <sheetName val="수리결과"/>
      <sheetName val="1"/>
      <sheetName val="유리면(990309)"/>
      <sheetName val="6월"/>
      <sheetName val="부재예실"/>
      <sheetName val="단가"/>
      <sheetName val="3.수익성향상"/>
      <sheetName val="비주거용"/>
      <sheetName val="건재양식"/>
      <sheetName val="실행내역서(DCU)"/>
      <sheetName val=" 갑지"/>
      <sheetName val="지급자재"/>
      <sheetName val="준검 내역서"/>
      <sheetName val="투자예산"/>
      <sheetName val="산출근거"/>
      <sheetName val="가설재손료"/>
      <sheetName val="인원계획"/>
      <sheetName val="9907협력"/>
      <sheetName val="건설성적"/>
      <sheetName val="예산실적전체당월"/>
      <sheetName val="코드"/>
      <sheetName val="재정"/>
      <sheetName val="TTT"/>
      <sheetName val="이자율"/>
      <sheetName val="TOTAL"/>
      <sheetName val="두께별"/>
      <sheetName val="기타수당"/>
      <sheetName val="연차수당"/>
      <sheetName val="機器明細(MC)"/>
      <sheetName val="투자양식"/>
      <sheetName val="수입"/>
      <sheetName val="1을"/>
      <sheetName val="PVC"/>
      <sheetName val="CODE"/>
      <sheetName val="총괄표"/>
      <sheetName val="통계자료"/>
      <sheetName val="MOTOR"/>
      <sheetName val="Sheet1"/>
      <sheetName val="OD5000"/>
      <sheetName val="db"/>
      <sheetName val="2.대외공문"/>
      <sheetName val="인건비(010330)"/>
      <sheetName val="규격"/>
      <sheetName val="누계 내외장재 비율"/>
      <sheetName val="LSH CODE"/>
      <sheetName val="부착품"/>
      <sheetName val="기초일위"/>
      <sheetName val="시설일위"/>
      <sheetName val="조명일위"/>
      <sheetName val="실행예산"/>
      <sheetName val="총내역서"/>
      <sheetName val="E-BDATA"/>
      <sheetName val="CAUDIT"/>
      <sheetName val=" 견적서"/>
      <sheetName val="불만처리현황"/>
      <sheetName val="실행철강하도"/>
      <sheetName val="본문"/>
      <sheetName val="세부(종합)"/>
      <sheetName val="예산입력(전)"/>
      <sheetName val="여과지동"/>
      <sheetName val="기초자료"/>
      <sheetName val="차수"/>
      <sheetName val="추가예산"/>
      <sheetName val="제품원재"/>
      <sheetName val="대외공문"/>
      <sheetName val="조선용암면"/>
      <sheetName val="물량표"/>
      <sheetName val="물량표S"/>
      <sheetName val="홈씨씨 기존 제상품 매출 거래선 LIST"/>
      <sheetName val="Sheet2"/>
      <sheetName val="BASE"/>
      <sheetName val="집계표"/>
      <sheetName val="수율추이"/>
      <sheetName val="연간rework환소"/>
      <sheetName val="연간rework포장"/>
      <sheetName val="Sheet2 (2)"/>
      <sheetName val="세부추진"/>
      <sheetName val="64164"/>
      <sheetName val="부재예실1월"/>
      <sheetName val="3.현황(창호_라미)"/>
      <sheetName val="3.현황(내외장재_상재)"/>
      <sheetName val="원하대비"/>
      <sheetName val="원도급"/>
      <sheetName val="하도급"/>
      <sheetName val="본예산"/>
      <sheetName val="변경증감내역서"/>
      <sheetName val="배합비(99-05-25)"/>
      <sheetName val="참고자료(PM중점과제)"/>
      <sheetName val="97년 추정"/>
      <sheetName val="설계조건"/>
      <sheetName val="당월실적"/>
      <sheetName val="1분기보증금산정"/>
      <sheetName val="물량10월"/>
      <sheetName val="tvr320"/>
      <sheetName val="수지공장 ITEM별 작업시간"/>
      <sheetName val="typecode"/>
      <sheetName val="Sheet6"/>
      <sheetName val="Sheet5"/>
      <sheetName val="Sheet4"/>
      <sheetName val="업무연락"/>
      <sheetName val="건재"/>
      <sheetName val="생략채권"/>
      <sheetName val="유리"/>
      <sheetName val="원본"/>
      <sheetName val="PAINT"/>
      <sheetName val="SUMMARY"/>
      <sheetName val="XL4Poppy"/>
      <sheetName val="KD율"/>
      <sheetName val="기술자문현황(유형별)"/>
      <sheetName val="#93"/>
      <sheetName val="표지"/>
      <sheetName val="C11F"/>
      <sheetName val="POWER"/>
      <sheetName val="3TOP2부_11월 2주차 취합본.xlsx"/>
      <sheetName val="코드표"/>
      <sheetName val="판매일반"/>
      <sheetName val="ID BY INVENTORY"/>
      <sheetName val="상용_mp"/>
      <sheetName val=" OEM상품 매출확대 방안_Ver2.0.xlsx"/>
      <sheetName val="VXXXXXXX"/>
      <sheetName val="95년기준조정"/>
      <sheetName val="생산판매재고"/>
      <sheetName val="GRACE"/>
      <sheetName val="FCU (2)"/>
      <sheetName val="eq_data"/>
      <sheetName val="인원01"/>
      <sheetName val="99기본"/>
      <sheetName val="CMC ellipse"/>
      <sheetName val="6월실적"/>
      <sheetName val="RD제품개발투자비(매가)"/>
      <sheetName val="4"/>
      <sheetName val="#REF"/>
      <sheetName val="COA-17"/>
      <sheetName val="C-18"/>
      <sheetName val="성형자료"/>
      <sheetName val="금강투자2000"/>
      <sheetName val="용해1"/>
      <sheetName val="용해2"/>
      <sheetName val="용해3"/>
      <sheetName val="용해5"/>
      <sheetName val="관리재고4월(~08년1월)"/>
      <sheetName val="조정유형06"/>
      <sheetName val="고려성적"/>
      <sheetName val="일년TOTAL"/>
      <sheetName val="재고"/>
      <sheetName val="9월누계(산지계)"/>
      <sheetName val="권역코드(0603)"/>
      <sheetName val="SUMMARY(S)"/>
      <sheetName val="00실적"/>
      <sheetName val="만년달력"/>
      <sheetName val="출장거리"/>
      <sheetName val="12년실적"/>
      <sheetName val="참고.반영율"/>
      <sheetName val="도입리스트"/>
      <sheetName val="매트"/>
      <sheetName val="사이즈"/>
      <sheetName val="용융"/>
      <sheetName val="티슈"/>
      <sheetName val="진행율"/>
      <sheetName val="DAT(목표)"/>
      <sheetName val="북부"/>
      <sheetName val="신제품1"/>
      <sheetName val="신제품2"/>
      <sheetName val="신제품3"/>
      <sheetName val="예산(09년_WHITE)"/>
      <sheetName val="대비2"/>
      <sheetName val="부서"/>
      <sheetName val="2월판매"/>
      <sheetName val="손료기준-공사부구두문의"/>
      <sheetName val="콘크리트타설집계표"/>
      <sheetName val="참고"/>
      <sheetName val="월,누계 (2)"/>
      <sheetName val="작업"/>
      <sheetName val="2008 건재예산$100기준"/>
      <sheetName val="MAKER 별(3)"/>
      <sheetName val="DATA-페놀수지"/>
      <sheetName val="일위대가"/>
      <sheetName val="배합비(2,3.4분기)"/>
      <sheetName val="특판단가표"/>
      <sheetName val="월별수입"/>
      <sheetName val="원재료(LC_전체)"/>
      <sheetName val="원재료(전체_전체)"/>
      <sheetName val="당월보"/>
      <sheetName val="전년실적(판)"/>
      <sheetName val="원료"/>
      <sheetName val="원단위 산출"/>
      <sheetName val="고정비 내역"/>
      <sheetName val="변동비 내역"/>
      <sheetName val="실행간접비"/>
      <sheetName val="자금운용계획표"/>
      <sheetName val="공문"/>
      <sheetName val="1월"/>
      <sheetName val="판촉계획(고정)"/>
      <sheetName val="제안서"/>
      <sheetName val="행정표준(1)"/>
      <sheetName val="행정표준(2)"/>
      <sheetName val="건    재"/>
      <sheetName val="BASE보유"/>
      <sheetName val="참조자료"/>
      <sheetName val="전체LIST"/>
      <sheetName val="2003년 합계"/>
      <sheetName val="목차"/>
      <sheetName val="협조전"/>
      <sheetName val="Sheet1 (2)"/>
      <sheetName val="DANGA"/>
    </sheetNames>
    <sheetDataSet>
      <sheetData sheetId="0">
        <row r="51">
          <cell r="B51">
            <v>88616</v>
          </cell>
          <cell r="C51">
            <v>59770</v>
          </cell>
          <cell r="D51">
            <v>47983</v>
          </cell>
        </row>
        <row r="52">
          <cell r="B52">
            <v>116421</v>
          </cell>
          <cell r="C52">
            <v>88616</v>
          </cell>
          <cell r="D52">
            <v>59770</v>
          </cell>
        </row>
        <row r="53">
          <cell r="B53">
            <v>105184</v>
          </cell>
          <cell r="C53">
            <v>116421</v>
          </cell>
          <cell r="D53">
            <v>88616</v>
          </cell>
        </row>
        <row r="54">
          <cell r="B54">
            <v>117790</v>
          </cell>
          <cell r="C54">
            <v>105184</v>
          </cell>
          <cell r="D54">
            <v>116421</v>
          </cell>
        </row>
        <row r="55">
          <cell r="B55">
            <v>116221</v>
          </cell>
          <cell r="C55">
            <v>117790</v>
          </cell>
          <cell r="D55">
            <v>105184</v>
          </cell>
        </row>
        <row r="56">
          <cell r="B56">
            <v>117328</v>
          </cell>
          <cell r="C56">
            <v>116221</v>
          </cell>
          <cell r="D56">
            <v>117790</v>
          </cell>
        </row>
        <row r="57">
          <cell r="B57">
            <v>113821</v>
          </cell>
          <cell r="C57">
            <v>117328</v>
          </cell>
          <cell r="D57">
            <v>116221</v>
          </cell>
        </row>
        <row r="58">
          <cell r="B58">
            <v>113374</v>
          </cell>
          <cell r="C58">
            <v>113821</v>
          </cell>
          <cell r="D58">
            <v>117328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비주거용"/>
      <sheetName val="허가면적(6.22)"/>
      <sheetName val="유형별 (6.22)"/>
      <sheetName val="유형별 (5.14)"/>
      <sheetName val="허가면적(5.18)"/>
      <sheetName val="허가면적(5.12)10%"/>
      <sheetName val="허가면적(5.12)5%"/>
      <sheetName val="허가면적(5.12)5% (2)"/>
      <sheetName val="허가면적(5.12) (2)"/>
      <sheetName val="내용2 (2.27) "/>
      <sheetName val="총괄"/>
      <sheetName val="주거용"/>
      <sheetName val="주거용 (2)"/>
      <sheetName val="건설투자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판촉계획(고정)"/>
      <sheetName val="예산실적전체당월"/>
      <sheetName val="산출근거"/>
      <sheetName val="MC산출근거"/>
      <sheetName val="9805허가"/>
      <sheetName val="GC산출"/>
      <sheetName val="제안서"/>
      <sheetName val="행정표준(1)"/>
      <sheetName val="행정표준(2)"/>
      <sheetName val="5쪽"/>
      <sheetName val="전체LIST"/>
      <sheetName val="1"/>
      <sheetName val="차량별점검"/>
      <sheetName val="반품상세"/>
      <sheetName val="제품원재"/>
      <sheetName val="guard(mac)"/>
      <sheetName val="VXXXXXXX"/>
      <sheetName val="#REF"/>
      <sheetName val="tggwan(mac)"/>
      <sheetName val="건설성적"/>
      <sheetName val="건    재"/>
      <sheetName val="engline"/>
      <sheetName val="투자예산"/>
      <sheetName val="승용"/>
      <sheetName val="원본"/>
      <sheetName val="00실적"/>
      <sheetName val="5사남"/>
      <sheetName val="골프모래"/>
      <sheetName val="단가"/>
      <sheetName val="000000"/>
      <sheetName val="LEGEND"/>
      <sheetName val="년차수당"/>
      <sheetName val="1을"/>
      <sheetName val="VA_code"/>
      <sheetName val="부재예실1월"/>
      <sheetName val="조선용암면"/>
      <sheetName val="건재양식"/>
      <sheetName val="건재"/>
      <sheetName val="생략채권"/>
      <sheetName val="유리"/>
      <sheetName val="PVC"/>
      <sheetName val="일년TOTAL"/>
      <sheetName val="코드표(세무증빙표)"/>
      <sheetName val="월간"/>
      <sheetName val="부재예실"/>
      <sheetName val=" 17. 유기소재.xlsx"/>
      <sheetName val="BASE"/>
      <sheetName val="95MAKER"/>
      <sheetName val="Atomic Wt Data"/>
      <sheetName val="수리결과"/>
      <sheetName val="3사인원"/>
      <sheetName val="피벗 (2)"/>
      <sheetName val="부대시설"/>
      <sheetName val="Apt내역"/>
      <sheetName val="신규DEP"/>
      <sheetName val="95년기준조정"/>
      <sheetName val="5.세운W-A"/>
      <sheetName val="RD제품개발투자비(매가)"/>
      <sheetName val="배합비(99-05-25)"/>
      <sheetName val="빙100장비사양"/>
      <sheetName val="Sheet4"/>
      <sheetName val="초과사유"/>
      <sheetName val="CMC ellipse"/>
      <sheetName val="투찰추정"/>
      <sheetName val="입찰안"/>
      <sheetName val="건축도급단가"/>
      <sheetName val="실행단가"/>
      <sheetName val="이자율"/>
      <sheetName val="출장거리"/>
      <sheetName val="미지급금"/>
      <sheetName val="금액"/>
      <sheetName val="운영계획"/>
      <sheetName val="손료기준-공사부구두문의"/>
      <sheetName val="97년 추정"/>
      <sheetName val="선급법인세"/>
      <sheetName val="tabl"/>
      <sheetName val="Sheet1"/>
      <sheetName val="LAB설비"/>
      <sheetName val="통계자료"/>
      <sheetName val="04월계획"/>
      <sheetName val="12월실적"/>
      <sheetName val="단가대비표"/>
      <sheetName val="전년실적"/>
      <sheetName val="표지"/>
      <sheetName val="판매 계획"/>
      <sheetName val="자체실적1Q"/>
      <sheetName val="Sheet2 (2)"/>
      <sheetName val="Listvalues"/>
      <sheetName val="OD5000"/>
      <sheetName val="개설수"/>
      <sheetName val="기초생년월일"/>
      <sheetName val="KPI(전산)"/>
      <sheetName val="report_20"/>
      <sheetName val="camera_30"/>
      <sheetName val="당월실적"/>
      <sheetName val="구분자룩업"/>
      <sheetName val="1분기용기보증금산정"/>
      <sheetName val="DATA"/>
      <sheetName val="04월실적"/>
      <sheetName val="항목(1)"/>
      <sheetName val="1월"/>
      <sheetName val="배합비(2,3.4분기)"/>
      <sheetName val="KSHAHU-6"/>
      <sheetName val="협조전"/>
      <sheetName val="4"/>
      <sheetName val="계획08"/>
      <sheetName val="Sheet2"/>
      <sheetName val="울산(코드별규격)"/>
      <sheetName val="보증금(판)"/>
      <sheetName val="판1부"/>
      <sheetName val="월별수입"/>
      <sheetName val="2003년 합계"/>
      <sheetName val="결론"/>
      <sheetName val="2-8"/>
      <sheetName val="10"/>
      <sheetName val="90"/>
      <sheetName val="40"/>
      <sheetName val="50"/>
      <sheetName val="60"/>
      <sheetName val="70"/>
      <sheetName val="camera_10"/>
      <sheetName val="실행내역서(DCU)"/>
      <sheetName val="S"/>
      <sheetName val="9월누계(산지계)"/>
      <sheetName val=" 갑지"/>
      <sheetName val="특판단가표"/>
      <sheetName val="손익11"/>
      <sheetName val="구분자"/>
      <sheetName val="11가공(유형구분)"/>
      <sheetName val="주간예상실적(공업)"/>
      <sheetName val="Finished Goods "/>
      <sheetName val="누계 내외장재 비율"/>
      <sheetName val="예산M11A"/>
      <sheetName val="건재0001"/>
      <sheetName val="차수"/>
      <sheetName val="코드표"/>
      <sheetName val="機器明細(MC)"/>
      <sheetName val="기타수당"/>
      <sheetName val="연차수당"/>
      <sheetName val="03년 손익"/>
      <sheetName val="기본"/>
      <sheetName val="매트"/>
      <sheetName val="사이즈"/>
      <sheetName val="용융"/>
      <sheetName val="티슈"/>
      <sheetName val="일위대가목록"/>
      <sheetName val="2012년경영자면담자료.xlsx"/>
      <sheetName val="정보매체A동"/>
      <sheetName val="일위대가"/>
      <sheetName val="박두익"/>
      <sheetName val="원재료비 UP-DATE"/>
      <sheetName val="PDP"/>
      <sheetName val=" 10개년 장기 판매계획 양식(산업용_플랜트).xlsx"/>
      <sheetName val="수율추이"/>
      <sheetName val="로봇소프트플랫폼_기술분류"/>
      <sheetName val="과제"/>
      <sheetName val="2.대외공문"/>
      <sheetName val="세부(종합)"/>
      <sheetName val="조명일위"/>
      <sheetName val="생산판매재고"/>
      <sheetName val="도입리스트"/>
      <sheetName val="미확인"/>
      <sheetName val="운영자금차입금"/>
      <sheetName val="주별납기"/>
      <sheetName val="9907협력"/>
      <sheetName val="포장"/>
      <sheetName val="현재담보"/>
      <sheetName val="2"/>
      <sheetName val="지부전체"/>
      <sheetName val="준검 내역서"/>
      <sheetName val="배합변경_1"/>
      <sheetName val="품질경영"/>
      <sheetName val="재고"/>
      <sheetName val="참고"/>
      <sheetName val="관할"/>
      <sheetName val="12"/>
      <sheetName val="품의서"/>
      <sheetName val="3.제품군별 실적(보고용)"/>
      <sheetName val="출금실적"/>
      <sheetName val="재무현황"/>
      <sheetName val="지급자재"/>
      <sheetName val="변경내역대비표(2)"/>
      <sheetName val="총괄표"/>
      <sheetName val="판매일반"/>
      <sheetName val="거래선유형"/>
      <sheetName val="PATENT"/>
      <sheetName val="1과"/>
      <sheetName val="연료비입력"/>
      <sheetName val="재정"/>
      <sheetName val="TTT"/>
      <sheetName val="과단위"/>
      <sheetName val="가설재손료"/>
      <sheetName val="인원계획"/>
      <sheetName val="참고.반영율"/>
      <sheetName val="실적(2안)"/>
      <sheetName val="보증금(전신전화가입권)"/>
      <sheetName val="미착기계"/>
      <sheetName val="대전-교대(A1-A2)"/>
      <sheetName val="자동차표"/>
      <sheetName val="추가예산"/>
      <sheetName val="총원"/>
      <sheetName val="지역별수출"/>
      <sheetName val="참조1"/>
      <sheetName val="금강투자2000"/>
      <sheetName val="성형자료"/>
      <sheetName val="철콘(승대건설)"/>
      <sheetName val="MOTOR"/>
      <sheetName val="TOTAL"/>
      <sheetName val="SurveyTotals"/>
      <sheetName val="3.현황(창호_라미)"/>
      <sheetName val="3.현황(내외장재_상재)"/>
      <sheetName val="KCB단가코드"/>
      <sheetName val="두께별"/>
      <sheetName val=" Global Top (2012-03-06).xlsx"/>
      <sheetName val="3.붙이기"/>
      <sheetName val="판매추정"/>
      <sheetName val="토지면적"/>
      <sheetName val="1인당GDP"/>
      <sheetName val="시도별추계인구"/>
      <sheetName val="미착재고현황전주"/>
      <sheetName val="6월보고실적현황"/>
      <sheetName val="기초일위"/>
      <sheetName val="시설일위"/>
      <sheetName val="내역"/>
      <sheetName val="패티"/>
      <sheetName val="소스"/>
      <sheetName val="을-ATYPE"/>
      <sheetName val="부서"/>
      <sheetName val="인상효1"/>
      <sheetName val="창호이맥스"/>
      <sheetName val="담보"/>
      <sheetName val="유리이맥스"/>
      <sheetName val="신제품1"/>
      <sheetName val="10월계획"/>
      <sheetName val="정공공사"/>
      <sheetName val="개요"/>
      <sheetName val="기안"/>
      <sheetName val="마케팅"/>
      <sheetName val="목차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캔개발배경"/>
      <sheetName val="캔판매목표"/>
      <sheetName val="시장"/>
      <sheetName val="일정표"/>
      <sheetName val="고정자산"/>
      <sheetName val="매출원가추정"/>
      <sheetName val="매출추정"/>
      <sheetName val="방정식그래프"/>
      <sheetName val="4월정산"/>
      <sheetName val="3월정산"/>
      <sheetName val="7월정산(8월)전체"/>
      <sheetName val="8월씨마크"/>
      <sheetName val="10월정산(9월사용-1)"/>
      <sheetName val="wall"/>
      <sheetName val="Front"/>
      <sheetName val="최종가공"/>
      <sheetName val="2월판매"/>
      <sheetName val="변경증감내역서"/>
      <sheetName val="전체"/>
      <sheetName val="BASE보유"/>
      <sheetName val="참조자료"/>
      <sheetName val="3.수익성향상"/>
      <sheetName val="관리전폭"/>
      <sheetName val="Sheet3"/>
      <sheetName val="집계표(육상)"/>
      <sheetName val="9906"/>
      <sheetName val="참조"/>
      <sheetName val="매출"/>
      <sheetName val="이맥스"/>
      <sheetName val="연돌일위집계"/>
      <sheetName val="수선계획표"/>
      <sheetName val="신제품3"/>
      <sheetName val="그래프"/>
      <sheetName val="삼성(당산)월하반기"/>
      <sheetName val="2013년누계불량채권"/>
      <sheetName val="2013년누계"/>
      <sheetName val="R&amp;D"/>
      <sheetName val="해외"/>
      <sheetName val="직노"/>
      <sheetName val="h-013211-2"/>
      <sheetName val="코드"/>
      <sheetName val="지질조사"/>
      <sheetName val="집계표"/>
      <sheetName val="생산일정"/>
      <sheetName val="일위대가표"/>
      <sheetName val="사업소득자세수추계"/>
      <sheetName val="운반"/>
      <sheetName val="2-2.매출분석"/>
      <sheetName val="실행철강하도"/>
      <sheetName val="동재"/>
      <sheetName val="공문"/>
      <sheetName val="B"/>
      <sheetName val="상용"/>
      <sheetName val="기초자료"/>
      <sheetName val="견적집계표"/>
      <sheetName val="조회서"/>
      <sheetName val="설계조건"/>
      <sheetName val="경비비교표(예실)"/>
      <sheetName val="Sheet1 (2)"/>
      <sheetName val="DHEQSUPT"/>
      <sheetName val="RW"/>
      <sheetName val="가격"/>
      <sheetName val="1995년 섹터별 매출"/>
      <sheetName val="센스타일,강화마루 운영(안).xlsx"/>
      <sheetName val="C11F"/>
      <sheetName val="tt-RESIN"/>
      <sheetName val="출고 자료합계(원본)"/>
      <sheetName val="GRACE"/>
      <sheetName val="10월예약현황(씨마크)"/>
      <sheetName val="200005"/>
      <sheetName val="감축 아이템"/>
      <sheetName val="1인당매출"/>
      <sheetName val="기술자문 현재진행인력(기존+신규)"/>
      <sheetName val="동해title"/>
      <sheetName val="학력조회"/>
      <sheetName val="골조시행"/>
      <sheetName val="CAT_5"/>
      <sheetName val="단위원가"/>
      <sheetName val="원단위 산출"/>
      <sheetName val="고정비 내역"/>
      <sheetName val="변동비 내역"/>
      <sheetName val="석고보드"/>
      <sheetName val="능율"/>
      <sheetName val="석고보드(3호기)"/>
      <sheetName val="차액보증"/>
      <sheetName val="홈씨씨 기존 제상품 매출 거래선 LIST"/>
      <sheetName val="배합비(99-06-15)"/>
      <sheetName val="★원자재작업용"/>
      <sheetName val="필름(100826)"/>
      <sheetName val="보강재작업용"/>
      <sheetName val="★가격표(2011.03)"/>
      <sheetName val="제품구분"/>
      <sheetName val="200101"/>
      <sheetName val="한강운반비"/>
      <sheetName val="2000년 신제품 내역"/>
      <sheetName val="Tbom-tot"/>
      <sheetName val="1차설계변경내역"/>
      <sheetName val="작성기준"/>
      <sheetName val="95D"/>
      <sheetName val="94D"/>
      <sheetName val="예산입력(전)"/>
      <sheetName val="현황보고"/>
      <sheetName val="계획담당자참고"/>
      <sheetName val="Code(전체)"/>
      <sheetName val="★15년 기능직 인센티브 지급안(15.10.13)-최종("/>
      <sheetName val=" ◎2016년 기본예산 공장 - 투자 집계-2016022"/>
      <sheetName val=" 2.건설사별 품목별 연도별 실적(9월3주차)_건설상품("/>
      <sheetName val=" 장외영향평가 진행 사항.xlsx"/>
      <sheetName val="세부추진"/>
      <sheetName val="상용_mp"/>
      <sheetName val=" 10개년 장기 판매계획 양식.xlsx"/>
      <sheetName val=" 장기재고 현황 (6월).xlsx"/>
      <sheetName val="변경"/>
      <sheetName val="GEUB "/>
      <sheetName val="본문"/>
      <sheetName val="공비대비"/>
      <sheetName val="2002-12"/>
      <sheetName val="2003-01"/>
      <sheetName val="★14 기본투자예산_ver3(신설수지 추가).xlsx"/>
      <sheetName val="물량투입계획"/>
      <sheetName val="FC-101"/>
      <sheetName val="3월"/>
      <sheetName val="1분기보증금산정"/>
      <sheetName val="기능인사자료"/>
      <sheetName val="전부서공통"/>
      <sheetName val="자료"/>
      <sheetName val="2공구산출내역"/>
      <sheetName val="실행예산"/>
      <sheetName val="기준데이터"/>
      <sheetName val="98지급계획"/>
      <sheetName val="대비2"/>
      <sheetName val="고려성적"/>
      <sheetName val="주요원재료현황"/>
      <sheetName val="울산_AT"/>
      <sheetName val="메인생산량"/>
      <sheetName val="카메라원본2 (2)"/>
      <sheetName val="박한솔(첨부)"/>
      <sheetName val="경비공통"/>
      <sheetName val="외화가수금"/>
      <sheetName val="리스트"/>
      <sheetName val="12년실적"/>
      <sheetName val="2분기"/>
      <sheetName val="출고지코드"/>
      <sheetName val="Sheet4 (2)"/>
      <sheetName val="jbr020sa"/>
      <sheetName val="시산표"/>
      <sheetName val="수리제작작업"/>
      <sheetName val="월계획"/>
      <sheetName val="원료단가"/>
      <sheetName val="인원"/>
      <sheetName val="0421_임원인터뷰"/>
      <sheetName val="0420_실사_정도식"/>
      <sheetName val="성형생산량"/>
      <sheetName val="입력란"/>
      <sheetName val="당월보"/>
      <sheetName val="전년실적(판)"/>
      <sheetName val="2분기산정제품"/>
      <sheetName val="원료"/>
      <sheetName val="WH002 작업 분"/>
    </sheetNames>
    <sheetDataSet>
      <sheetData sheetId="0" refreshError="1">
        <row r="4">
          <cell r="D4">
            <v>17609</v>
          </cell>
        </row>
        <row r="5">
          <cell r="D5">
            <v>21024</v>
          </cell>
        </row>
        <row r="6">
          <cell r="D6">
            <v>26344</v>
          </cell>
        </row>
        <row r="7">
          <cell r="D7">
            <v>30634</v>
          </cell>
        </row>
        <row r="8">
          <cell r="D8">
            <v>41107</v>
          </cell>
        </row>
        <row r="9">
          <cell r="D9">
            <v>45493</v>
          </cell>
        </row>
        <row r="10">
          <cell r="D10">
            <v>46124</v>
          </cell>
        </row>
        <row r="11">
          <cell r="D11">
            <v>39933</v>
          </cell>
        </row>
        <row r="12">
          <cell r="D12">
            <v>48491</v>
          </cell>
        </row>
        <row r="13">
          <cell r="D13">
            <v>52834</v>
          </cell>
        </row>
        <row r="14">
          <cell r="D14">
            <v>54714</v>
          </cell>
        </row>
        <row r="15">
          <cell r="D15">
            <v>52757</v>
          </cell>
        </row>
        <row r="16">
          <cell r="D16">
            <v>50697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근거"/>
      <sheetName val="집계양식"/>
      <sheetName val="총시장(확정)"/>
      <sheetName val="00예상실적"/>
      <sheetName val="전체"/>
      <sheetName val="수출"/>
      <sheetName val="내수"/>
      <sheetName val="95년기준조정"/>
      <sheetName val="지표"/>
      <sheetName val="Sheet4"/>
      <sheetName val="비주거용"/>
      <sheetName val="GC산출"/>
      <sheetName val="부재예실1월"/>
      <sheetName val="부재예실"/>
      <sheetName val="1"/>
      <sheetName val="1월"/>
      <sheetName val="제품원재"/>
      <sheetName val="물량표"/>
      <sheetName val="건설성적"/>
      <sheetName val="전년실적"/>
      <sheetName val="리피니쉬총시장(0807)"/>
      <sheetName val="지역별수출"/>
      <sheetName val="제안서"/>
      <sheetName val="행정표준(1)"/>
      <sheetName val="행정표준(2)"/>
      <sheetName val="tvr320"/>
      <sheetName val="투자예산"/>
      <sheetName val="추가예산"/>
      <sheetName val="본문"/>
      <sheetName val="월별수입"/>
      <sheetName val="예산실적전체당월"/>
      <sheetName val="판매일반"/>
      <sheetName val="Sheet3"/>
      <sheetName val="Sheet2"/>
      <sheetName val="배합변경_1"/>
      <sheetName val="품질경영"/>
      <sheetName val="준검 내역서"/>
      <sheetName val="Sheet4 (2)"/>
      <sheetName val="97년 추정"/>
      <sheetName val="3.수익성향상"/>
      <sheetName val="2-8"/>
      <sheetName val="출장거리"/>
      <sheetName val="주간예상실적(공업)"/>
      <sheetName val="골조시행"/>
      <sheetName val="5사남"/>
      <sheetName val="소방"/>
      <sheetName val="1과"/>
      <sheetName val="DATA"/>
      <sheetName val="열관류율●"/>
      <sheetName val="fud"/>
      <sheetName val="건    재"/>
      <sheetName val="조선용암면"/>
      <sheetName val="개설수"/>
      <sheetName val="KPI(전산)"/>
      <sheetName val="데이타"/>
      <sheetName val="수리결과"/>
      <sheetName val="Front"/>
      <sheetName val="wall"/>
      <sheetName val="고정자산"/>
      <sheetName val="매출원가추정"/>
      <sheetName val="매출추정"/>
      <sheetName val="출금실적"/>
      <sheetName val="LAB설비"/>
      <sheetName val="통계자료"/>
      <sheetName val="일위대가표"/>
      <sheetName val="00실적"/>
      <sheetName val="4과 거래선별 판매 계획"/>
      <sheetName val="5과 거래선별 판매 계획"/>
      <sheetName val="CON'C"/>
      <sheetName val="견적집계표"/>
      <sheetName val="건축허가착공정리"/>
      <sheetName val="공사실적"/>
      <sheetName val="자동차등록"/>
      <sheetName val="지표정리"/>
      <sheetName val="지표정리-정리"/>
      <sheetName val="건축허가착공"/>
      <sheetName val="부서"/>
      <sheetName val="6월"/>
      <sheetName val="계정부서"/>
      <sheetName val="3월"/>
      <sheetName val="단가"/>
      <sheetName val="생산판매재고"/>
      <sheetName val="소개"/>
      <sheetName val="배합비(2,3.4분기)"/>
      <sheetName val="Sheet1"/>
      <sheetName val="공문"/>
      <sheetName val="자금운용계획표"/>
      <sheetName val="교수설계"/>
      <sheetName val="2003년 합계"/>
      <sheetName val="카메라2"/>
      <sheetName val="Finished Goods "/>
      <sheetName val="1을"/>
      <sheetName val="기초자료"/>
      <sheetName val="OD5000"/>
      <sheetName val="MISCELLANIOUS"/>
      <sheetName val="MOTOR"/>
      <sheetName val="동해title"/>
      <sheetName val="원하대비"/>
      <sheetName val="원도급"/>
      <sheetName val="하도급"/>
      <sheetName val="배합비(99-05-25)"/>
      <sheetName val="MC산출근거"/>
      <sheetName val="로봇소프트플랫폼_기술분류"/>
      <sheetName val="BASE"/>
      <sheetName val="단가대비표"/>
      <sheetName val="부서별집계"/>
      <sheetName val="근태시간"/>
      <sheetName val="참고.반영율"/>
      <sheetName val="권역,사업부"/>
      <sheetName val="#REF"/>
      <sheetName val="원재료비 UP-DATE"/>
      <sheetName val="PDP"/>
      <sheetName val="미지급금"/>
      <sheetName val="보증금"/>
      <sheetName val="산정(1부)"/>
      <sheetName val="당월실적"/>
      <sheetName val="수량산출"/>
      <sheetName val="누계 내외장재 비율"/>
      <sheetName val="지부전체"/>
      <sheetName val="별첨_2)내수_수출 (2)"/>
      <sheetName val="선급법인세"/>
      <sheetName val="집계표"/>
      <sheetName val="판매 계획"/>
      <sheetName val="선급비용"/>
      <sheetName val="정거장 설계조건"/>
      <sheetName val="연환"/>
    </sheetNames>
    <sheetDataSet>
      <sheetData sheetId="0">
        <row r="6">
          <cell r="BF6">
            <v>2255.4669137188557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E1367-F547-45EE-A71B-6E2713ECDDCB}">
  <dimension ref="B2:AD48"/>
  <sheetViews>
    <sheetView showGridLines="0" tabSelected="1" zoomScaleNormal="100" zoomScaleSheetLayoutView="80" workbookViewId="0">
      <selection activeCell="Q32" sqref="Q32:S33"/>
    </sheetView>
  </sheetViews>
  <sheetFormatPr defaultColWidth="5" defaultRowHeight="22.5" customHeight="1" x14ac:dyDescent="0.3"/>
  <cols>
    <col min="1" max="1" width="2.5" customWidth="1"/>
    <col min="6" max="8" width="6.125" customWidth="1"/>
    <col min="30" max="30" width="2.5" customWidth="1"/>
    <col min="38" max="38" width="9.75" bestFit="1" customWidth="1"/>
  </cols>
  <sheetData>
    <row r="2" spans="2:30" ht="57" customHeight="1" thickBot="1" x14ac:dyDescent="0.35">
      <c r="B2" s="11" t="s">
        <v>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"/>
    </row>
    <row r="3" spans="2:30" ht="23.25" customHeight="1" x14ac:dyDescent="0.3"/>
    <row r="4" spans="2:30" ht="30" customHeight="1" thickBot="1" x14ac:dyDescent="0.35">
      <c r="B4" s="12" t="s">
        <v>9</v>
      </c>
      <c r="C4" s="12"/>
      <c r="D4" s="12"/>
    </row>
    <row r="5" spans="2:30" s="2" customFormat="1" ht="31.5" customHeight="1" x14ac:dyDescent="0.3">
      <c r="B5" s="13" t="s">
        <v>10</v>
      </c>
      <c r="C5" s="14"/>
      <c r="D5" s="14"/>
      <c r="E5" s="15" t="str">
        <f ca="1">IF(Z5="","",
"E"&amp;IF(L5="H-Line","H",IF(L5="B-Line","B",IF(L5="Lifus","L","")))&amp;"-"&amp;TEXT(E8,"YYMM")&amp;"-"&amp;IF(S5="서울","01",IF(S5="경기남부","02",IF(S5="경인","03",IF(S5="기타","00",""))))&amp;"-"&amp;TEXT(Z5,"000"))</f>
        <v>EH-2604-02-000</v>
      </c>
      <c r="F5" s="15"/>
      <c r="G5" s="15"/>
      <c r="H5" s="15"/>
      <c r="I5" s="16" t="s">
        <v>11</v>
      </c>
      <c r="J5" s="17"/>
      <c r="K5" s="18"/>
      <c r="L5" s="19" t="s">
        <v>12</v>
      </c>
      <c r="M5" s="20"/>
      <c r="N5" s="20"/>
      <c r="O5" s="21"/>
      <c r="P5" s="22" t="s">
        <v>13</v>
      </c>
      <c r="Q5" s="23"/>
      <c r="R5" s="24"/>
      <c r="S5" s="25" t="s">
        <v>71</v>
      </c>
      <c r="T5" s="26"/>
      <c r="U5" s="26"/>
      <c r="V5" s="27"/>
      <c r="W5" s="22" t="s">
        <v>14</v>
      </c>
      <c r="X5" s="23"/>
      <c r="Y5" s="24"/>
      <c r="Z5" s="28">
        <v>0</v>
      </c>
      <c r="AA5" s="28"/>
      <c r="AB5" s="28"/>
      <c r="AC5" s="29"/>
    </row>
    <row r="6" spans="2:30" s="2" customFormat="1" ht="31.5" customHeight="1" x14ac:dyDescent="0.3">
      <c r="B6" s="35" t="s">
        <v>15</v>
      </c>
      <c r="C6" s="36"/>
      <c r="D6" s="36"/>
      <c r="E6" s="46" t="s">
        <v>72</v>
      </c>
      <c r="F6" s="46"/>
      <c r="G6" s="46"/>
      <c r="H6" s="46"/>
      <c r="I6" s="47" t="s">
        <v>16</v>
      </c>
      <c r="J6" s="48"/>
      <c r="K6" s="49"/>
      <c r="L6" s="50"/>
      <c r="M6" s="51"/>
      <c r="N6" s="51"/>
      <c r="O6" s="52"/>
      <c r="P6" s="53" t="s">
        <v>17</v>
      </c>
      <c r="Q6" s="54"/>
      <c r="R6" s="55"/>
      <c r="S6" s="56" t="s">
        <v>73</v>
      </c>
      <c r="T6" s="57"/>
      <c r="U6" s="57"/>
      <c r="V6" s="58"/>
      <c r="W6" s="30" t="s">
        <v>18</v>
      </c>
      <c r="X6" s="31"/>
      <c r="Y6" s="32"/>
      <c r="Z6" s="33" t="s">
        <v>62</v>
      </c>
      <c r="AA6" s="33"/>
      <c r="AB6" s="33"/>
      <c r="AC6" s="34"/>
    </row>
    <row r="7" spans="2:30" s="2" customFormat="1" ht="31.5" customHeight="1" x14ac:dyDescent="0.3">
      <c r="B7" s="35" t="s">
        <v>19</v>
      </c>
      <c r="C7" s="36"/>
      <c r="D7" s="36"/>
      <c r="E7" s="37" t="s">
        <v>74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9"/>
      <c r="W7" s="40" t="s">
        <v>20</v>
      </c>
      <c r="X7" s="41"/>
      <c r="Y7" s="42"/>
      <c r="Z7" s="43" t="s">
        <v>63</v>
      </c>
      <c r="AA7" s="44"/>
      <c r="AB7" s="44"/>
      <c r="AC7" s="45"/>
    </row>
    <row r="8" spans="2:30" s="2" customFormat="1" ht="31.5" customHeight="1" x14ac:dyDescent="0.3">
      <c r="B8" s="73" t="s">
        <v>21</v>
      </c>
      <c r="C8" s="31"/>
      <c r="D8" s="32"/>
      <c r="E8" s="74">
        <f ca="1">TODAY()</f>
        <v>46118</v>
      </c>
      <c r="F8" s="74"/>
      <c r="G8" s="74"/>
      <c r="H8" s="74"/>
      <c r="I8" s="30" t="s">
        <v>22</v>
      </c>
      <c r="J8" s="31"/>
      <c r="K8" s="32"/>
      <c r="L8" s="75" t="s">
        <v>23</v>
      </c>
      <c r="M8" s="76"/>
      <c r="N8" s="76"/>
      <c r="O8" s="77"/>
      <c r="P8" s="40" t="s">
        <v>24</v>
      </c>
      <c r="Q8" s="41"/>
      <c r="R8" s="42"/>
      <c r="S8" s="46" t="s">
        <v>68</v>
      </c>
      <c r="T8" s="46"/>
      <c r="U8" s="46"/>
      <c r="V8" s="46"/>
      <c r="W8" s="30" t="s">
        <v>25</v>
      </c>
      <c r="X8" s="31"/>
      <c r="Y8" s="32"/>
      <c r="Z8" s="33" t="s">
        <v>26</v>
      </c>
      <c r="AA8" s="33"/>
      <c r="AB8" s="33"/>
      <c r="AC8" s="34"/>
    </row>
    <row r="9" spans="2:30" s="2" customFormat="1" ht="31.5" customHeight="1" x14ac:dyDescent="0.3">
      <c r="B9" s="35" t="s">
        <v>27</v>
      </c>
      <c r="C9" s="36"/>
      <c r="D9" s="36"/>
      <c r="E9" s="46" t="s">
        <v>28</v>
      </c>
      <c r="F9" s="46"/>
      <c r="G9" s="46"/>
      <c r="H9" s="46"/>
      <c r="I9" s="59" t="s">
        <v>29</v>
      </c>
      <c r="J9" s="60"/>
      <c r="K9" s="61"/>
      <c r="L9" s="62" t="s">
        <v>30</v>
      </c>
      <c r="M9" s="63"/>
      <c r="N9" s="63"/>
      <c r="O9" s="64"/>
      <c r="P9" s="65" t="s">
        <v>31</v>
      </c>
      <c r="Q9" s="66"/>
      <c r="R9" s="67"/>
      <c r="S9" s="68" t="s">
        <v>26</v>
      </c>
      <c r="T9" s="69"/>
      <c r="U9" s="69"/>
      <c r="V9" s="70"/>
      <c r="W9" s="65" t="s">
        <v>32</v>
      </c>
      <c r="X9" s="66"/>
      <c r="Y9" s="67"/>
      <c r="Z9" s="71" t="s">
        <v>30</v>
      </c>
      <c r="AA9" s="71"/>
      <c r="AB9" s="71"/>
      <c r="AC9" s="72"/>
    </row>
    <row r="10" spans="2:30" s="3" customFormat="1" ht="39" customHeight="1" thickBot="1" x14ac:dyDescent="0.35">
      <c r="B10" s="78" t="s">
        <v>33</v>
      </c>
      <c r="C10" s="79"/>
      <c r="D10" s="79"/>
      <c r="E10" s="79"/>
      <c r="F10" s="79"/>
      <c r="G10" s="79"/>
      <c r="H10" s="79"/>
      <c r="I10" s="80">
        <f>SUM(X46:AA47)</f>
        <v>6787854</v>
      </c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2"/>
      <c r="W10" s="83"/>
      <c r="X10" s="84"/>
      <c r="Y10" s="85"/>
      <c r="Z10" s="86"/>
      <c r="AA10" s="86"/>
      <c r="AB10" s="86"/>
      <c r="AC10" s="87"/>
    </row>
    <row r="11" spans="2:30" ht="14.25" customHeight="1" x14ac:dyDescent="0.3">
      <c r="B11" s="4"/>
      <c r="C11" s="4"/>
      <c r="D11" s="4"/>
      <c r="E11" s="5"/>
      <c r="F11" s="5"/>
      <c r="G11" s="5"/>
      <c r="H11" s="5"/>
      <c r="I11" s="4"/>
      <c r="J11" s="4"/>
      <c r="K11" s="6"/>
      <c r="L11" s="6"/>
      <c r="M11" s="6"/>
      <c r="N11" s="7"/>
      <c r="O11" s="7"/>
      <c r="P11" s="7"/>
      <c r="Q11" s="4"/>
      <c r="R11" s="4"/>
      <c r="S11" s="4"/>
      <c r="T11" s="4"/>
      <c r="U11" s="7"/>
      <c r="V11" s="7"/>
      <c r="W11" s="7"/>
      <c r="X11" s="7"/>
      <c r="Y11" s="7"/>
      <c r="Z11" s="7"/>
      <c r="AA11" s="7"/>
      <c r="AB11" s="7"/>
      <c r="AC11" s="7"/>
    </row>
    <row r="12" spans="2:30" ht="30" customHeight="1" thickBot="1" x14ac:dyDescent="0.4">
      <c r="B12" s="12" t="s">
        <v>34</v>
      </c>
      <c r="C12" s="12"/>
      <c r="D12" s="12"/>
      <c r="AC12" s="8" t="s">
        <v>35</v>
      </c>
    </row>
    <row r="13" spans="2:30" ht="16.5" customHeight="1" x14ac:dyDescent="0.3">
      <c r="B13" s="88" t="s">
        <v>36</v>
      </c>
      <c r="C13" s="89"/>
      <c r="D13" s="89"/>
      <c r="E13" s="89"/>
      <c r="F13" s="89"/>
      <c r="G13" s="89"/>
      <c r="H13" s="89"/>
      <c r="I13" s="90"/>
      <c r="J13" s="94" t="s">
        <v>79</v>
      </c>
      <c r="K13" s="89"/>
      <c r="L13" s="89"/>
      <c r="M13" s="89"/>
      <c r="N13" s="89"/>
      <c r="O13" s="89"/>
      <c r="P13" s="90"/>
      <c r="Q13" s="94" t="s">
        <v>37</v>
      </c>
      <c r="R13" s="89"/>
      <c r="S13" s="90"/>
      <c r="T13" s="94" t="s">
        <v>0</v>
      </c>
      <c r="U13" s="90"/>
      <c r="V13" s="94" t="s">
        <v>38</v>
      </c>
      <c r="W13" s="90"/>
      <c r="X13" s="89" t="s">
        <v>39</v>
      </c>
      <c r="Y13" s="89"/>
      <c r="Z13" s="89"/>
      <c r="AA13" s="90"/>
      <c r="AB13" s="94" t="s">
        <v>40</v>
      </c>
      <c r="AC13" s="96"/>
    </row>
    <row r="14" spans="2:30" ht="16.5" customHeight="1" x14ac:dyDescent="0.3">
      <c r="B14" s="91"/>
      <c r="C14" s="92"/>
      <c r="D14" s="92"/>
      <c r="E14" s="92"/>
      <c r="F14" s="92"/>
      <c r="G14" s="92"/>
      <c r="H14" s="92"/>
      <c r="I14" s="93"/>
      <c r="J14" s="95"/>
      <c r="K14" s="92"/>
      <c r="L14" s="92"/>
      <c r="M14" s="92"/>
      <c r="N14" s="92"/>
      <c r="O14" s="92"/>
      <c r="P14" s="93"/>
      <c r="Q14" s="95"/>
      <c r="R14" s="92"/>
      <c r="S14" s="93"/>
      <c r="T14" s="95"/>
      <c r="U14" s="93"/>
      <c r="V14" s="95"/>
      <c r="W14" s="93"/>
      <c r="X14" s="92"/>
      <c r="Y14" s="92"/>
      <c r="Z14" s="92"/>
      <c r="AA14" s="93"/>
      <c r="AB14" s="95"/>
      <c r="AC14" s="97"/>
    </row>
    <row r="15" spans="2:30" ht="25.5" customHeight="1" x14ac:dyDescent="0.3">
      <c r="B15" s="98" t="s">
        <v>41</v>
      </c>
      <c r="C15" s="99"/>
      <c r="D15" s="100"/>
      <c r="E15" s="101" t="s">
        <v>1</v>
      </c>
      <c r="F15" s="100"/>
      <c r="G15" s="104" t="s">
        <v>2</v>
      </c>
      <c r="H15" s="105"/>
      <c r="I15" s="106"/>
      <c r="J15" s="107" t="s">
        <v>69</v>
      </c>
      <c r="K15" s="108"/>
      <c r="L15" s="108"/>
      <c r="M15" s="108"/>
      <c r="N15" s="108"/>
      <c r="O15" s="108"/>
      <c r="P15" s="109"/>
      <c r="Q15" s="110"/>
      <c r="R15" s="111"/>
      <c r="S15" s="112"/>
      <c r="T15" s="116">
        <v>1</v>
      </c>
      <c r="U15" s="117"/>
      <c r="V15" s="120" t="s">
        <v>42</v>
      </c>
      <c r="W15" s="121"/>
      <c r="X15" s="124">
        <v>2169043</v>
      </c>
      <c r="Y15" s="125"/>
      <c r="Z15" s="125"/>
      <c r="AA15" s="126"/>
      <c r="AB15" s="116"/>
      <c r="AC15" s="130"/>
    </row>
    <row r="16" spans="2:30" ht="25.5" customHeight="1" x14ac:dyDescent="0.3">
      <c r="B16" s="133" t="s">
        <v>43</v>
      </c>
      <c r="C16" s="134"/>
      <c r="D16" s="135"/>
      <c r="E16" s="102"/>
      <c r="F16" s="103"/>
      <c r="G16" s="136" t="s">
        <v>44</v>
      </c>
      <c r="H16" s="137"/>
      <c r="I16" s="138"/>
      <c r="J16" s="139" t="s">
        <v>64</v>
      </c>
      <c r="K16" s="140"/>
      <c r="L16" s="140"/>
      <c r="M16" s="140"/>
      <c r="N16" s="140"/>
      <c r="O16" s="140"/>
      <c r="P16" s="141"/>
      <c r="Q16" s="113"/>
      <c r="R16" s="114"/>
      <c r="S16" s="115"/>
      <c r="T16" s="118"/>
      <c r="U16" s="119"/>
      <c r="V16" s="122"/>
      <c r="W16" s="123"/>
      <c r="X16" s="127"/>
      <c r="Y16" s="128"/>
      <c r="Z16" s="128"/>
      <c r="AA16" s="129"/>
      <c r="AB16" s="131"/>
      <c r="AC16" s="132"/>
    </row>
    <row r="17" spans="2:29" ht="25.5" customHeight="1" x14ac:dyDescent="0.3">
      <c r="B17" s="133"/>
      <c r="C17" s="134"/>
      <c r="D17" s="135"/>
      <c r="E17" s="136" t="s">
        <v>45</v>
      </c>
      <c r="F17" s="138"/>
      <c r="G17" s="139" t="s">
        <v>51</v>
      </c>
      <c r="H17" s="140"/>
      <c r="I17" s="141"/>
      <c r="J17" s="139" t="s">
        <v>70</v>
      </c>
      <c r="K17" s="140"/>
      <c r="L17" s="140"/>
      <c r="M17" s="140"/>
      <c r="N17" s="140"/>
      <c r="O17" s="140"/>
      <c r="P17" s="141"/>
      <c r="Q17" s="142"/>
      <c r="R17" s="143"/>
      <c r="S17" s="144"/>
      <c r="T17" s="139">
        <v>3.1</v>
      </c>
      <c r="U17" s="141"/>
      <c r="V17" s="146" t="s">
        <v>42</v>
      </c>
      <c r="W17" s="147"/>
      <c r="X17" s="151">
        <v>736000</v>
      </c>
      <c r="Y17" s="152"/>
      <c r="Z17" s="152"/>
      <c r="AA17" s="153"/>
      <c r="AB17" s="131"/>
      <c r="AC17" s="132"/>
    </row>
    <row r="18" spans="2:29" ht="25.5" customHeight="1" x14ac:dyDescent="0.3">
      <c r="B18" s="133"/>
      <c r="C18" s="134"/>
      <c r="D18" s="135"/>
      <c r="E18" s="157" t="s">
        <v>46</v>
      </c>
      <c r="F18" s="158"/>
      <c r="G18" s="136" t="s">
        <v>4</v>
      </c>
      <c r="H18" s="137"/>
      <c r="I18" s="138"/>
      <c r="J18" s="139" t="s">
        <v>75</v>
      </c>
      <c r="K18" s="140"/>
      <c r="L18" s="140"/>
      <c r="M18" s="140"/>
      <c r="N18" s="140"/>
      <c r="O18" s="140"/>
      <c r="P18" s="141"/>
      <c r="Q18" s="142"/>
      <c r="R18" s="143"/>
      <c r="S18" s="144"/>
      <c r="T18" s="145">
        <v>1</v>
      </c>
      <c r="U18" s="145"/>
      <c r="V18" s="146" t="s">
        <v>48</v>
      </c>
      <c r="W18" s="147"/>
      <c r="X18" s="148">
        <v>422000</v>
      </c>
      <c r="Y18" s="149"/>
      <c r="Z18" s="149"/>
      <c r="AA18" s="150"/>
      <c r="AB18" s="131"/>
      <c r="AC18" s="132"/>
    </row>
    <row r="19" spans="2:29" ht="25.5" customHeight="1" x14ac:dyDescent="0.3">
      <c r="B19" s="133"/>
      <c r="C19" s="134"/>
      <c r="D19" s="135"/>
      <c r="E19" s="159"/>
      <c r="F19" s="135"/>
      <c r="G19" s="136" t="s">
        <v>6</v>
      </c>
      <c r="H19" s="137"/>
      <c r="I19" s="138"/>
      <c r="J19" s="139" t="s">
        <v>66</v>
      </c>
      <c r="K19" s="140"/>
      <c r="L19" s="140"/>
      <c r="M19" s="140"/>
      <c r="N19" s="140"/>
      <c r="O19" s="140"/>
      <c r="P19" s="141"/>
      <c r="Q19" s="142"/>
      <c r="R19" s="143"/>
      <c r="S19" s="144"/>
      <c r="T19" s="145">
        <v>1</v>
      </c>
      <c r="U19" s="145"/>
      <c r="V19" s="146" t="s">
        <v>48</v>
      </c>
      <c r="W19" s="147"/>
      <c r="X19" s="148">
        <v>73400</v>
      </c>
      <c r="Y19" s="149"/>
      <c r="Z19" s="149"/>
      <c r="AA19" s="150"/>
      <c r="AB19" s="131"/>
      <c r="AC19" s="132"/>
    </row>
    <row r="20" spans="2:29" ht="25.5" customHeight="1" x14ac:dyDescent="0.3">
      <c r="B20" s="133"/>
      <c r="C20" s="134"/>
      <c r="D20" s="135"/>
      <c r="E20" s="159"/>
      <c r="F20" s="135"/>
      <c r="G20" s="136" t="s">
        <v>5</v>
      </c>
      <c r="H20" s="137"/>
      <c r="I20" s="138"/>
      <c r="J20" s="170" t="s">
        <v>67</v>
      </c>
      <c r="K20" s="140"/>
      <c r="L20" s="140"/>
      <c r="M20" s="140"/>
      <c r="N20" s="140"/>
      <c r="O20" s="140"/>
      <c r="P20" s="141"/>
      <c r="Q20" s="142"/>
      <c r="R20" s="143"/>
      <c r="S20" s="144"/>
      <c r="T20" s="145">
        <v>1</v>
      </c>
      <c r="U20" s="145"/>
      <c r="V20" s="146" t="s">
        <v>48</v>
      </c>
      <c r="W20" s="147"/>
      <c r="X20" s="148">
        <v>66400</v>
      </c>
      <c r="Y20" s="149"/>
      <c r="Z20" s="149"/>
      <c r="AA20" s="150"/>
      <c r="AB20" s="131"/>
      <c r="AC20" s="132"/>
    </row>
    <row r="21" spans="2:29" ht="25.5" customHeight="1" thickBot="1" x14ac:dyDescent="0.35">
      <c r="B21" s="154"/>
      <c r="C21" s="155"/>
      <c r="D21" s="156"/>
      <c r="E21" s="160"/>
      <c r="F21" s="156"/>
      <c r="G21" s="161" t="s">
        <v>7</v>
      </c>
      <c r="H21" s="162"/>
      <c r="I21" s="163"/>
      <c r="J21" s="164" t="s">
        <v>65</v>
      </c>
      <c r="K21" s="165"/>
      <c r="L21" s="165"/>
      <c r="M21" s="165"/>
      <c r="N21" s="165"/>
      <c r="O21" s="165"/>
      <c r="P21" s="166"/>
      <c r="Q21" s="167"/>
      <c r="R21" s="168"/>
      <c r="S21" s="169"/>
      <c r="T21" s="145">
        <v>1</v>
      </c>
      <c r="U21" s="145"/>
      <c r="V21" s="146" t="s">
        <v>48</v>
      </c>
      <c r="W21" s="147"/>
      <c r="X21" s="148">
        <v>127400</v>
      </c>
      <c r="Y21" s="149"/>
      <c r="Z21" s="149"/>
      <c r="AA21" s="150"/>
      <c r="AB21" s="131"/>
      <c r="AC21" s="132"/>
    </row>
    <row r="22" spans="2:29" ht="25.5" hidden="1" customHeight="1" x14ac:dyDescent="0.3">
      <c r="B22" s="98" t="s">
        <v>49</v>
      </c>
      <c r="C22" s="99"/>
      <c r="D22" s="100"/>
      <c r="E22" s="101" t="s">
        <v>1</v>
      </c>
      <c r="F22" s="100"/>
      <c r="G22" s="104" t="s">
        <v>2</v>
      </c>
      <c r="H22" s="105"/>
      <c r="I22" s="106"/>
      <c r="J22" s="107"/>
      <c r="K22" s="108"/>
      <c r="L22" s="108"/>
      <c r="M22" s="108"/>
      <c r="N22" s="108"/>
      <c r="O22" s="108"/>
      <c r="P22" s="109"/>
      <c r="Q22" s="116"/>
      <c r="R22" s="171"/>
      <c r="S22" s="117"/>
      <c r="T22" s="116"/>
      <c r="U22" s="117"/>
      <c r="V22" s="124" t="s">
        <v>42</v>
      </c>
      <c r="W22" s="126"/>
      <c r="X22" s="124"/>
      <c r="Y22" s="125"/>
      <c r="Z22" s="125"/>
      <c r="AA22" s="126"/>
      <c r="AB22" s="116"/>
      <c r="AC22" s="130"/>
    </row>
    <row r="23" spans="2:29" ht="25.5" hidden="1" customHeight="1" x14ac:dyDescent="0.3">
      <c r="B23" s="133" t="s">
        <v>50</v>
      </c>
      <c r="C23" s="134"/>
      <c r="D23" s="135"/>
      <c r="E23" s="102"/>
      <c r="F23" s="103"/>
      <c r="G23" s="136" t="s">
        <v>44</v>
      </c>
      <c r="H23" s="137"/>
      <c r="I23" s="138"/>
      <c r="J23" s="139"/>
      <c r="K23" s="140"/>
      <c r="L23" s="140"/>
      <c r="M23" s="140"/>
      <c r="N23" s="140"/>
      <c r="O23" s="140"/>
      <c r="P23" s="141"/>
      <c r="Q23" s="118"/>
      <c r="R23" s="172"/>
      <c r="S23" s="119"/>
      <c r="T23" s="118"/>
      <c r="U23" s="119"/>
      <c r="V23" s="127"/>
      <c r="W23" s="129"/>
      <c r="X23" s="127"/>
      <c r="Y23" s="128"/>
      <c r="Z23" s="128"/>
      <c r="AA23" s="129"/>
      <c r="AB23" s="131"/>
      <c r="AC23" s="132"/>
    </row>
    <row r="24" spans="2:29" ht="25.5" hidden="1" customHeight="1" x14ac:dyDescent="0.3">
      <c r="B24" s="133"/>
      <c r="C24" s="134"/>
      <c r="D24" s="135"/>
      <c r="E24" s="136" t="s">
        <v>45</v>
      </c>
      <c r="F24" s="138"/>
      <c r="G24" s="139" t="s">
        <v>51</v>
      </c>
      <c r="H24" s="140"/>
      <c r="I24" s="141"/>
      <c r="J24" s="139"/>
      <c r="K24" s="140"/>
      <c r="L24" s="140"/>
      <c r="M24" s="140"/>
      <c r="N24" s="140"/>
      <c r="O24" s="140"/>
      <c r="P24" s="141"/>
      <c r="Q24" s="173"/>
      <c r="R24" s="174"/>
      <c r="S24" s="175"/>
      <c r="T24" s="139"/>
      <c r="U24" s="141"/>
      <c r="V24" s="151" t="s">
        <v>42</v>
      </c>
      <c r="W24" s="153"/>
      <c r="X24" s="151"/>
      <c r="Y24" s="152"/>
      <c r="Z24" s="152"/>
      <c r="AA24" s="153"/>
      <c r="AB24" s="131"/>
      <c r="AC24" s="132"/>
    </row>
    <row r="25" spans="2:29" ht="25.5" hidden="1" customHeight="1" x14ac:dyDescent="0.3">
      <c r="B25" s="133"/>
      <c r="C25" s="134"/>
      <c r="D25" s="135"/>
      <c r="E25" s="157" t="s">
        <v>46</v>
      </c>
      <c r="F25" s="158"/>
      <c r="G25" s="136" t="s">
        <v>4</v>
      </c>
      <c r="H25" s="137"/>
      <c r="I25" s="138"/>
      <c r="J25" s="139" t="s">
        <v>47</v>
      </c>
      <c r="K25" s="140"/>
      <c r="L25" s="140"/>
      <c r="M25" s="140"/>
      <c r="N25" s="140"/>
      <c r="O25" s="140"/>
      <c r="P25" s="141"/>
      <c r="Q25" s="142"/>
      <c r="R25" s="143"/>
      <c r="S25" s="144"/>
      <c r="T25" s="145">
        <v>1</v>
      </c>
      <c r="U25" s="145"/>
      <c r="V25" s="146" t="s">
        <v>48</v>
      </c>
      <c r="W25" s="147"/>
      <c r="X25" s="148">
        <f>IF(OR(J25="-",T25=""),"",IFERROR(VLOOKUP(J25,[19]운영상품내역!$H$4:$K$42,4,FALSE)*T25,""))</f>
        <v>0</v>
      </c>
      <c r="Y25" s="149"/>
      <c r="Z25" s="149"/>
      <c r="AA25" s="150"/>
      <c r="AB25" s="131"/>
      <c r="AC25" s="132"/>
    </row>
    <row r="26" spans="2:29" ht="25.5" hidden="1" customHeight="1" x14ac:dyDescent="0.3">
      <c r="B26" s="133"/>
      <c r="C26" s="134"/>
      <c r="D26" s="135"/>
      <c r="E26" s="159"/>
      <c r="F26" s="135"/>
      <c r="G26" s="136" t="s">
        <v>6</v>
      </c>
      <c r="H26" s="137"/>
      <c r="I26" s="138"/>
      <c r="J26" s="139" t="s">
        <v>47</v>
      </c>
      <c r="K26" s="140"/>
      <c r="L26" s="140"/>
      <c r="M26" s="140"/>
      <c r="N26" s="140"/>
      <c r="O26" s="140"/>
      <c r="P26" s="141"/>
      <c r="Q26" s="142"/>
      <c r="R26" s="143"/>
      <c r="S26" s="144"/>
      <c r="T26" s="145">
        <v>1</v>
      </c>
      <c r="U26" s="145"/>
      <c r="V26" s="146" t="s">
        <v>48</v>
      </c>
      <c r="W26" s="147"/>
      <c r="X26" s="148">
        <f>IF(OR(J26="-",T26=""),"",IFERROR(VLOOKUP(J26,[19]운영상품내역!$H$4:$K$42,4,FALSE)*T26,""))</f>
        <v>0</v>
      </c>
      <c r="Y26" s="149"/>
      <c r="Z26" s="149"/>
      <c r="AA26" s="150"/>
      <c r="AB26" s="131"/>
      <c r="AC26" s="132"/>
    </row>
    <row r="27" spans="2:29" ht="25.5" hidden="1" customHeight="1" x14ac:dyDescent="0.3">
      <c r="B27" s="133"/>
      <c r="C27" s="134"/>
      <c r="D27" s="135"/>
      <c r="E27" s="159"/>
      <c r="F27" s="135"/>
      <c r="G27" s="136" t="s">
        <v>5</v>
      </c>
      <c r="H27" s="137"/>
      <c r="I27" s="138"/>
      <c r="J27" s="170" t="s">
        <v>47</v>
      </c>
      <c r="K27" s="140"/>
      <c r="L27" s="140"/>
      <c r="M27" s="140"/>
      <c r="N27" s="140"/>
      <c r="O27" s="140"/>
      <c r="P27" s="141"/>
      <c r="Q27" s="142"/>
      <c r="R27" s="143"/>
      <c r="S27" s="144"/>
      <c r="T27" s="145">
        <v>1</v>
      </c>
      <c r="U27" s="145"/>
      <c r="V27" s="146" t="s">
        <v>48</v>
      </c>
      <c r="W27" s="147"/>
      <c r="X27" s="148">
        <f>IF(OR(J27="-",T27=""),"",IFERROR(VLOOKUP(J27,[19]운영상품내역!$H$4:$K$42,4,FALSE)*T27,""))</f>
        <v>0</v>
      </c>
      <c r="Y27" s="149"/>
      <c r="Z27" s="149"/>
      <c r="AA27" s="150"/>
      <c r="AB27" s="131"/>
      <c r="AC27" s="132"/>
    </row>
    <row r="28" spans="2:29" ht="25.5" hidden="1" customHeight="1" thickBot="1" x14ac:dyDescent="0.35">
      <c r="B28" s="133"/>
      <c r="C28" s="134"/>
      <c r="D28" s="135"/>
      <c r="E28" s="159"/>
      <c r="F28" s="135"/>
      <c r="G28" s="176" t="s">
        <v>7</v>
      </c>
      <c r="H28" s="177"/>
      <c r="I28" s="158"/>
      <c r="J28" s="178" t="s">
        <v>47</v>
      </c>
      <c r="K28" s="179"/>
      <c r="L28" s="179"/>
      <c r="M28" s="179"/>
      <c r="N28" s="179"/>
      <c r="O28" s="179"/>
      <c r="P28" s="180"/>
      <c r="Q28" s="181"/>
      <c r="R28" s="182"/>
      <c r="S28" s="183"/>
      <c r="T28" s="184">
        <v>1</v>
      </c>
      <c r="U28" s="184"/>
      <c r="V28" s="185" t="s">
        <v>48</v>
      </c>
      <c r="W28" s="186"/>
      <c r="X28" s="187">
        <f>IF(OR(J28="-",T28=""),"",IFERROR(VLOOKUP(J28,[19]운영상품내역!$H$4:$K$42,4,FALSE)*T28,""))</f>
        <v>0</v>
      </c>
      <c r="Y28" s="188"/>
      <c r="Z28" s="188"/>
      <c r="AA28" s="189"/>
      <c r="AB28" s="131"/>
      <c r="AC28" s="132"/>
    </row>
    <row r="29" spans="2:29" ht="25.5" customHeight="1" thickBot="1" x14ac:dyDescent="0.35">
      <c r="B29" s="204" t="s">
        <v>52</v>
      </c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6"/>
      <c r="X29" s="207">
        <f>SUM(X15:AA28)</f>
        <v>3594243</v>
      </c>
      <c r="Y29" s="208"/>
      <c r="Z29" s="208"/>
      <c r="AA29" s="209"/>
      <c r="AB29" s="210"/>
      <c r="AC29" s="211"/>
    </row>
    <row r="30" spans="2:29" ht="25.5" hidden="1" customHeight="1" x14ac:dyDescent="0.3">
      <c r="B30" s="212" t="s">
        <v>53</v>
      </c>
      <c r="C30" s="213"/>
      <c r="D30" s="213"/>
      <c r="E30" s="214" t="s">
        <v>1</v>
      </c>
      <c r="F30" s="215"/>
      <c r="G30" s="218" t="s">
        <v>2</v>
      </c>
      <c r="H30" s="219"/>
      <c r="I30" s="220"/>
      <c r="J30" s="118"/>
      <c r="K30" s="172"/>
      <c r="L30" s="172"/>
      <c r="M30" s="172"/>
      <c r="N30" s="172"/>
      <c r="O30" s="172"/>
      <c r="P30" s="119"/>
      <c r="Q30" s="221"/>
      <c r="R30" s="222"/>
      <c r="S30" s="223"/>
      <c r="T30" s="131"/>
      <c r="U30" s="227"/>
      <c r="V30" s="190" t="s">
        <v>42</v>
      </c>
      <c r="W30" s="192"/>
      <c r="X30" s="190"/>
      <c r="Y30" s="191"/>
      <c r="Z30" s="191"/>
      <c r="AA30" s="192"/>
      <c r="AB30" s="118"/>
      <c r="AC30" s="196"/>
    </row>
    <row r="31" spans="2:29" ht="25.5" hidden="1" customHeight="1" x14ac:dyDescent="0.3">
      <c r="B31" s="197"/>
      <c r="C31" s="198"/>
      <c r="D31" s="198"/>
      <c r="E31" s="216"/>
      <c r="F31" s="217"/>
      <c r="G31" s="199" t="s">
        <v>44</v>
      </c>
      <c r="H31" s="200"/>
      <c r="I31" s="201"/>
      <c r="J31" s="139"/>
      <c r="K31" s="140"/>
      <c r="L31" s="140"/>
      <c r="M31" s="140"/>
      <c r="N31" s="140"/>
      <c r="O31" s="140"/>
      <c r="P31" s="141"/>
      <c r="Q31" s="224"/>
      <c r="R31" s="225"/>
      <c r="S31" s="226"/>
      <c r="T31" s="43"/>
      <c r="U31" s="228"/>
      <c r="V31" s="193"/>
      <c r="W31" s="195"/>
      <c r="X31" s="193"/>
      <c r="Y31" s="194"/>
      <c r="Z31" s="194"/>
      <c r="AA31" s="195"/>
      <c r="AB31" s="202"/>
      <c r="AC31" s="203"/>
    </row>
    <row r="32" spans="2:29" ht="25.5" customHeight="1" x14ac:dyDescent="0.3">
      <c r="B32" s="229" t="s">
        <v>54</v>
      </c>
      <c r="C32" s="230"/>
      <c r="D32" s="230"/>
      <c r="E32" s="231" t="s">
        <v>1</v>
      </c>
      <c r="F32" s="232"/>
      <c r="G32" s="235" t="s">
        <v>2</v>
      </c>
      <c r="H32" s="236"/>
      <c r="I32" s="237"/>
      <c r="J32" s="107" t="s">
        <v>69</v>
      </c>
      <c r="K32" s="108"/>
      <c r="L32" s="108"/>
      <c r="M32" s="108"/>
      <c r="N32" s="108"/>
      <c r="O32" s="108"/>
      <c r="P32" s="109"/>
      <c r="Q32" s="110" t="s">
        <v>76</v>
      </c>
      <c r="R32" s="111"/>
      <c r="S32" s="112"/>
      <c r="T32" s="116">
        <v>1</v>
      </c>
      <c r="U32" s="117"/>
      <c r="V32" s="124" t="s">
        <v>42</v>
      </c>
      <c r="W32" s="126"/>
      <c r="X32" s="124">
        <v>426533</v>
      </c>
      <c r="Y32" s="125"/>
      <c r="Z32" s="125"/>
      <c r="AA32" s="126"/>
      <c r="AB32" s="107"/>
      <c r="AC32" s="259"/>
    </row>
    <row r="33" spans="2:29" ht="25.5" customHeight="1" thickBot="1" x14ac:dyDescent="0.35">
      <c r="B33" s="197"/>
      <c r="C33" s="198"/>
      <c r="D33" s="198"/>
      <c r="E33" s="233"/>
      <c r="F33" s="234"/>
      <c r="G33" s="199" t="s">
        <v>44</v>
      </c>
      <c r="H33" s="200"/>
      <c r="I33" s="201"/>
      <c r="J33" s="139" t="s">
        <v>64</v>
      </c>
      <c r="K33" s="140"/>
      <c r="L33" s="140"/>
      <c r="M33" s="140"/>
      <c r="N33" s="140"/>
      <c r="O33" s="140"/>
      <c r="P33" s="141"/>
      <c r="Q33" s="224"/>
      <c r="R33" s="225"/>
      <c r="S33" s="226"/>
      <c r="T33" s="43"/>
      <c r="U33" s="228"/>
      <c r="V33" s="193"/>
      <c r="W33" s="195"/>
      <c r="X33" s="193"/>
      <c r="Y33" s="194"/>
      <c r="Z33" s="194"/>
      <c r="AA33" s="195"/>
      <c r="AB33" s="202"/>
      <c r="AC33" s="203"/>
    </row>
    <row r="34" spans="2:29" ht="25.5" customHeight="1" thickBot="1" x14ac:dyDescent="0.35">
      <c r="B34" s="315" t="s">
        <v>55</v>
      </c>
      <c r="C34" s="316"/>
      <c r="D34" s="317"/>
      <c r="E34" s="322" t="s">
        <v>4</v>
      </c>
      <c r="F34" s="316"/>
      <c r="G34" s="316"/>
      <c r="H34" s="316"/>
      <c r="I34" s="316"/>
      <c r="J34" s="317"/>
      <c r="K34" s="322" t="s">
        <v>6</v>
      </c>
      <c r="L34" s="316"/>
      <c r="M34" s="316"/>
      <c r="N34" s="316"/>
      <c r="O34" s="316"/>
      <c r="P34" s="317"/>
      <c r="Q34" s="323" t="s">
        <v>5</v>
      </c>
      <c r="R34" s="324"/>
      <c r="S34" s="324"/>
      <c r="T34" s="324"/>
      <c r="U34" s="324"/>
      <c r="V34" s="325"/>
      <c r="W34" s="326" t="s">
        <v>56</v>
      </c>
      <c r="X34" s="327"/>
      <c r="Y34" s="327"/>
      <c r="Z34" s="327"/>
      <c r="AA34" s="327"/>
      <c r="AB34" s="327"/>
      <c r="AC34" s="328"/>
    </row>
    <row r="35" spans="2:29" ht="25.5" customHeight="1" thickBot="1" x14ac:dyDescent="0.35">
      <c r="B35" s="318"/>
      <c r="C35" s="319"/>
      <c r="D35" s="319"/>
      <c r="E35" s="329" t="str">
        <f>J18</f>
        <v>EFIH_X3000 GY(인덕션)</v>
      </c>
      <c r="F35" s="330"/>
      <c r="G35" s="330"/>
      <c r="H35" s="330"/>
      <c r="I35" s="330"/>
      <c r="J35" s="331"/>
      <c r="K35" s="329" t="str">
        <f>J19</f>
        <v>HSH-BR600</v>
      </c>
      <c r="L35" s="330"/>
      <c r="M35" s="330"/>
      <c r="N35" s="330"/>
      <c r="O35" s="330"/>
      <c r="P35" s="331"/>
      <c r="Q35" s="238" t="str">
        <f>J20</f>
        <v>SB2-3000</v>
      </c>
      <c r="R35" s="239"/>
      <c r="S35" s="239"/>
      <c r="T35" s="239"/>
      <c r="U35" s="239"/>
      <c r="V35" s="240"/>
      <c r="W35" s="241" t="str">
        <f>J21</f>
        <v>EFS-SQSR780(K) 1.0t _</v>
      </c>
      <c r="X35" s="242"/>
      <c r="Y35" s="242"/>
      <c r="Z35" s="242"/>
      <c r="AA35" s="242"/>
      <c r="AB35" s="242"/>
      <c r="AC35" s="243"/>
    </row>
    <row r="36" spans="2:29" ht="25.5" customHeight="1" x14ac:dyDescent="0.3">
      <c r="B36" s="318"/>
      <c r="C36" s="319"/>
      <c r="D36" s="319"/>
      <c r="E36" s="244" t="e">
        <f>VLOOKUP(E35,[19]쿡탑!$D$3:$F$6,3,FALSE)</f>
        <v>#N/A</v>
      </c>
      <c r="F36" s="245"/>
      <c r="G36" s="245"/>
      <c r="H36" s="245"/>
      <c r="I36" s="245"/>
      <c r="J36" s="246"/>
      <c r="K36" s="244" t="e">
        <f>VLOOKUP(K35,[19]후드!$D$3:$F$12,3,FALSE)</f>
        <v>#N/A</v>
      </c>
      <c r="L36" s="245"/>
      <c r="M36" s="245"/>
      <c r="N36" s="245"/>
      <c r="O36" s="245"/>
      <c r="P36" s="246"/>
      <c r="Q36" s="281" t="e">
        <f>VLOOKUP(Q35,[19]수전!$D$3:$F$11,3,FALSE)</f>
        <v>#N/A</v>
      </c>
      <c r="R36" s="282"/>
      <c r="S36" s="282"/>
      <c r="T36" s="282"/>
      <c r="U36" s="282"/>
      <c r="V36" s="283"/>
      <c r="W36" s="290" t="e">
        <f>VLOOKUP(W35,[19]싱크볼!$D$3:$F$14,3,FALSE)</f>
        <v>#N/A</v>
      </c>
      <c r="X36" s="291"/>
      <c r="Y36" s="291"/>
      <c r="Z36" s="291"/>
      <c r="AA36" s="291"/>
      <c r="AB36" s="291"/>
      <c r="AC36" s="292"/>
    </row>
    <row r="37" spans="2:29" ht="25.5" customHeight="1" x14ac:dyDescent="0.3">
      <c r="B37" s="318"/>
      <c r="C37" s="319"/>
      <c r="D37" s="319"/>
      <c r="E37" s="133"/>
      <c r="F37" s="134"/>
      <c r="G37" s="134"/>
      <c r="H37" s="134"/>
      <c r="I37" s="134"/>
      <c r="J37" s="247"/>
      <c r="K37" s="133"/>
      <c r="L37" s="134"/>
      <c r="M37" s="134"/>
      <c r="N37" s="134"/>
      <c r="O37" s="134"/>
      <c r="P37" s="247"/>
      <c r="Q37" s="284"/>
      <c r="R37" s="285"/>
      <c r="S37" s="285"/>
      <c r="T37" s="285"/>
      <c r="U37" s="285"/>
      <c r="V37" s="286"/>
      <c r="W37" s="293"/>
      <c r="X37" s="294"/>
      <c r="Y37" s="294"/>
      <c r="Z37" s="294"/>
      <c r="AA37" s="294"/>
      <c r="AB37" s="294"/>
      <c r="AC37" s="295"/>
    </row>
    <row r="38" spans="2:29" ht="25.5" customHeight="1" x14ac:dyDescent="0.3">
      <c r="B38" s="318"/>
      <c r="C38" s="319"/>
      <c r="D38" s="319"/>
      <c r="E38" s="133"/>
      <c r="F38" s="134"/>
      <c r="G38" s="134"/>
      <c r="H38" s="134"/>
      <c r="I38" s="134"/>
      <c r="J38" s="247"/>
      <c r="K38" s="133"/>
      <c r="L38" s="134"/>
      <c r="M38" s="134"/>
      <c r="N38" s="134"/>
      <c r="O38" s="134"/>
      <c r="P38" s="247"/>
      <c r="Q38" s="284"/>
      <c r="R38" s="285"/>
      <c r="S38" s="285"/>
      <c r="T38" s="285"/>
      <c r="U38" s="285"/>
      <c r="V38" s="286"/>
      <c r="W38" s="293"/>
      <c r="X38" s="294"/>
      <c r="Y38" s="294"/>
      <c r="Z38" s="294"/>
      <c r="AA38" s="294"/>
      <c r="AB38" s="294"/>
      <c r="AC38" s="295"/>
    </row>
    <row r="39" spans="2:29" ht="25.5" customHeight="1" x14ac:dyDescent="0.3">
      <c r="B39" s="318"/>
      <c r="C39" s="319"/>
      <c r="D39" s="319"/>
      <c r="E39" s="133"/>
      <c r="F39" s="134"/>
      <c r="G39" s="134"/>
      <c r="H39" s="134"/>
      <c r="I39" s="134"/>
      <c r="J39" s="247"/>
      <c r="K39" s="133"/>
      <c r="L39" s="134"/>
      <c r="M39" s="134"/>
      <c r="N39" s="134"/>
      <c r="O39" s="134"/>
      <c r="P39" s="247"/>
      <c r="Q39" s="284"/>
      <c r="R39" s="285"/>
      <c r="S39" s="285"/>
      <c r="T39" s="285"/>
      <c r="U39" s="285"/>
      <c r="V39" s="286"/>
      <c r="W39" s="293"/>
      <c r="X39" s="294"/>
      <c r="Y39" s="294"/>
      <c r="Z39" s="294"/>
      <c r="AA39" s="294"/>
      <c r="AB39" s="294"/>
      <c r="AC39" s="295"/>
    </row>
    <row r="40" spans="2:29" ht="25.5" customHeight="1" x14ac:dyDescent="0.3">
      <c r="B40" s="318"/>
      <c r="C40" s="319"/>
      <c r="D40" s="319"/>
      <c r="E40" s="133"/>
      <c r="F40" s="134"/>
      <c r="G40" s="134"/>
      <c r="H40" s="134"/>
      <c r="I40" s="134"/>
      <c r="J40" s="247"/>
      <c r="K40" s="133"/>
      <c r="L40" s="134"/>
      <c r="M40" s="134"/>
      <c r="N40" s="134"/>
      <c r="O40" s="134"/>
      <c r="P40" s="247"/>
      <c r="Q40" s="284"/>
      <c r="R40" s="285"/>
      <c r="S40" s="285"/>
      <c r="T40" s="285"/>
      <c r="U40" s="285"/>
      <c r="V40" s="286"/>
      <c r="W40" s="293"/>
      <c r="X40" s="294"/>
      <c r="Y40" s="294"/>
      <c r="Z40" s="294"/>
      <c r="AA40" s="294"/>
      <c r="AB40" s="294"/>
      <c r="AC40" s="295"/>
    </row>
    <row r="41" spans="2:29" ht="25.5" customHeight="1" thickBot="1" x14ac:dyDescent="0.35">
      <c r="B41" s="320"/>
      <c r="C41" s="321"/>
      <c r="D41" s="321"/>
      <c r="E41" s="248"/>
      <c r="F41" s="249"/>
      <c r="G41" s="249"/>
      <c r="H41" s="249"/>
      <c r="I41" s="249"/>
      <c r="J41" s="250"/>
      <c r="K41" s="248"/>
      <c r="L41" s="249"/>
      <c r="M41" s="249"/>
      <c r="N41" s="249"/>
      <c r="O41" s="249"/>
      <c r="P41" s="250"/>
      <c r="Q41" s="287"/>
      <c r="R41" s="288"/>
      <c r="S41" s="288"/>
      <c r="T41" s="288"/>
      <c r="U41" s="288"/>
      <c r="V41" s="289"/>
      <c r="W41" s="296"/>
      <c r="X41" s="297"/>
      <c r="Y41" s="297"/>
      <c r="Z41" s="297"/>
      <c r="AA41" s="297"/>
      <c r="AB41" s="297"/>
      <c r="AC41" s="298"/>
    </row>
    <row r="42" spans="2:29" ht="28.5" customHeight="1" x14ac:dyDescent="0.3">
      <c r="B42" s="299" t="s">
        <v>57</v>
      </c>
      <c r="C42" s="300"/>
      <c r="D42" s="301"/>
      <c r="E42" s="308" t="s">
        <v>58</v>
      </c>
      <c r="F42" s="309"/>
      <c r="G42" s="309"/>
      <c r="H42" s="309"/>
      <c r="I42" s="309"/>
      <c r="J42" s="309"/>
      <c r="K42" s="309"/>
      <c r="L42" s="309"/>
      <c r="M42" s="309"/>
      <c r="N42" s="309"/>
      <c r="O42" s="309"/>
      <c r="P42" s="309"/>
      <c r="Q42" s="309"/>
      <c r="R42" s="309"/>
      <c r="S42" s="309"/>
      <c r="T42" s="309"/>
      <c r="U42" s="309"/>
      <c r="V42" s="309"/>
      <c r="W42" s="310"/>
      <c r="X42" s="311">
        <f>X29+X30+X32</f>
        <v>4020776</v>
      </c>
      <c r="Y42" s="312"/>
      <c r="Z42" s="312"/>
      <c r="AA42" s="313"/>
      <c r="AB42" s="25"/>
      <c r="AC42" s="314"/>
    </row>
    <row r="43" spans="2:29" ht="28.5" customHeight="1" x14ac:dyDescent="0.3">
      <c r="B43" s="302"/>
      <c r="C43" s="303"/>
      <c r="D43" s="304"/>
      <c r="E43" s="260" t="s">
        <v>3</v>
      </c>
      <c r="F43" s="261"/>
      <c r="G43" s="261"/>
      <c r="H43" s="261"/>
      <c r="I43" s="261"/>
      <c r="J43" s="261"/>
      <c r="K43" s="261"/>
      <c r="L43" s="261"/>
      <c r="M43" s="261"/>
      <c r="N43" s="261"/>
      <c r="O43" s="261"/>
      <c r="P43" s="261"/>
      <c r="Q43" s="261"/>
      <c r="R43" s="261"/>
      <c r="S43" s="261"/>
      <c r="T43" s="261"/>
      <c r="U43" s="261"/>
      <c r="V43" s="261"/>
      <c r="W43" s="262"/>
      <c r="X43" s="263">
        <v>1050000</v>
      </c>
      <c r="Y43" s="264"/>
      <c r="Z43" s="264"/>
      <c r="AA43" s="264"/>
      <c r="AB43" s="139"/>
      <c r="AC43" s="272"/>
    </row>
    <row r="44" spans="2:29" ht="28.5" customHeight="1" x14ac:dyDescent="0.3">
      <c r="B44" s="302"/>
      <c r="C44" s="303"/>
      <c r="D44" s="304"/>
      <c r="E44" s="260" t="s">
        <v>77</v>
      </c>
      <c r="F44" s="261"/>
      <c r="G44" s="261"/>
      <c r="H44" s="261"/>
      <c r="I44" s="261"/>
      <c r="J44" s="261"/>
      <c r="K44" s="261"/>
      <c r="L44" s="261"/>
      <c r="M44" s="261"/>
      <c r="N44" s="261"/>
      <c r="O44" s="261"/>
      <c r="P44" s="261"/>
      <c r="Q44" s="261"/>
      <c r="R44" s="261"/>
      <c r="S44" s="261"/>
      <c r="T44" s="261"/>
      <c r="U44" s="261"/>
      <c r="V44" s="261"/>
      <c r="W44" s="262"/>
      <c r="X44" s="263">
        <v>850000</v>
      </c>
      <c r="Y44" s="264"/>
      <c r="Z44" s="264"/>
      <c r="AA44" s="264"/>
      <c r="AB44" s="9"/>
      <c r="AC44" s="10"/>
    </row>
    <row r="45" spans="2:29" ht="28.5" customHeight="1" x14ac:dyDescent="0.3">
      <c r="B45" s="302"/>
      <c r="C45" s="303"/>
      <c r="D45" s="304"/>
      <c r="E45" s="266" t="s">
        <v>78</v>
      </c>
      <c r="F45" s="267"/>
      <c r="G45" s="267"/>
      <c r="H45" s="267"/>
      <c r="I45" s="267"/>
      <c r="J45" s="267"/>
      <c r="K45" s="267"/>
      <c r="L45" s="267"/>
      <c r="M45" s="267"/>
      <c r="N45" s="267"/>
      <c r="O45" s="267"/>
      <c r="P45" s="267"/>
      <c r="Q45" s="267"/>
      <c r="R45" s="267"/>
      <c r="S45" s="267"/>
      <c r="T45" s="267"/>
      <c r="U45" s="267"/>
      <c r="V45" s="267"/>
      <c r="W45" s="268"/>
      <c r="X45" s="269">
        <v>250000</v>
      </c>
      <c r="Y45" s="270"/>
      <c r="Z45" s="270"/>
      <c r="AA45" s="271"/>
      <c r="AB45" s="139"/>
      <c r="AC45" s="272"/>
    </row>
    <row r="46" spans="2:29" ht="31.5" customHeight="1" x14ac:dyDescent="0.3">
      <c r="B46" s="302"/>
      <c r="C46" s="303"/>
      <c r="D46" s="304"/>
      <c r="E46" s="273" t="s">
        <v>59</v>
      </c>
      <c r="F46" s="274"/>
      <c r="G46" s="274"/>
      <c r="H46" s="274"/>
      <c r="I46" s="274"/>
      <c r="J46" s="274"/>
      <c r="K46" s="274"/>
      <c r="L46" s="274"/>
      <c r="M46" s="274"/>
      <c r="N46" s="274"/>
      <c r="O46" s="274"/>
      <c r="P46" s="274"/>
      <c r="Q46" s="274"/>
      <c r="R46" s="274"/>
      <c r="S46" s="274"/>
      <c r="T46" s="274"/>
      <c r="U46" s="274"/>
      <c r="V46" s="274"/>
      <c r="W46" s="275"/>
      <c r="X46" s="276">
        <f>SUM(X42:AA45)</f>
        <v>6170776</v>
      </c>
      <c r="Y46" s="277"/>
      <c r="Z46" s="277"/>
      <c r="AA46" s="278"/>
      <c r="AB46" s="279"/>
      <c r="AC46" s="280"/>
    </row>
    <row r="47" spans="2:29" ht="22.5" customHeight="1" thickBot="1" x14ac:dyDescent="0.35">
      <c r="B47" s="305"/>
      <c r="C47" s="306"/>
      <c r="D47" s="307"/>
      <c r="E47" s="251" t="s">
        <v>60</v>
      </c>
      <c r="F47" s="252"/>
      <c r="G47" s="252"/>
      <c r="H47" s="252"/>
      <c r="I47" s="252"/>
      <c r="J47" s="252"/>
      <c r="K47" s="252"/>
      <c r="L47" s="252"/>
      <c r="M47" s="252"/>
      <c r="N47" s="252"/>
      <c r="O47" s="252"/>
      <c r="P47" s="252"/>
      <c r="Q47" s="252"/>
      <c r="R47" s="252"/>
      <c r="S47" s="252"/>
      <c r="T47" s="252"/>
      <c r="U47" s="252"/>
      <c r="V47" s="252"/>
      <c r="W47" s="253"/>
      <c r="X47" s="254">
        <f>ROUND(X46*0.1,0)</f>
        <v>617078</v>
      </c>
      <c r="Y47" s="255"/>
      <c r="Z47" s="255"/>
      <c r="AA47" s="256"/>
      <c r="AB47" s="257"/>
      <c r="AC47" s="258"/>
    </row>
    <row r="48" spans="2:29" ht="32.25" customHeight="1" x14ac:dyDescent="0.3">
      <c r="B48" s="265" t="s">
        <v>61</v>
      </c>
      <c r="C48" s="265"/>
      <c r="D48" s="265"/>
      <c r="E48" s="265"/>
      <c r="F48" s="265"/>
      <c r="G48" s="265"/>
      <c r="H48" s="265"/>
      <c r="I48" s="265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5"/>
      <c r="W48" s="265"/>
      <c r="X48" s="265"/>
      <c r="Y48" s="265"/>
      <c r="Z48" s="265"/>
      <c r="AA48" s="265"/>
      <c r="AB48" s="265"/>
      <c r="AC48" s="265"/>
    </row>
  </sheetData>
  <mergeCells count="203">
    <mergeCell ref="B48:AC48"/>
    <mergeCell ref="E45:W45"/>
    <mergeCell ref="X45:AA45"/>
    <mergeCell ref="AB45:AC45"/>
    <mergeCell ref="E46:W46"/>
    <mergeCell ref="X46:AA46"/>
    <mergeCell ref="AB46:AC46"/>
    <mergeCell ref="K36:P41"/>
    <mergeCell ref="Q36:V41"/>
    <mergeCell ref="W36:AC41"/>
    <mergeCell ref="B42:D47"/>
    <mergeCell ref="E42:W42"/>
    <mergeCell ref="X42:AA42"/>
    <mergeCell ref="AB42:AC42"/>
    <mergeCell ref="E43:W43"/>
    <mergeCell ref="X43:AA43"/>
    <mergeCell ref="AB43:AC43"/>
    <mergeCell ref="B34:D41"/>
    <mergeCell ref="E34:J34"/>
    <mergeCell ref="K34:P34"/>
    <mergeCell ref="Q34:V34"/>
    <mergeCell ref="W34:AC34"/>
    <mergeCell ref="E35:J35"/>
    <mergeCell ref="K35:P35"/>
    <mergeCell ref="Q35:V35"/>
    <mergeCell ref="W35:AC35"/>
    <mergeCell ref="E36:J41"/>
    <mergeCell ref="E47:W47"/>
    <mergeCell ref="X47:AA47"/>
    <mergeCell ref="AB47:AC47"/>
    <mergeCell ref="V32:W33"/>
    <mergeCell ref="X32:AA33"/>
    <mergeCell ref="AB32:AC32"/>
    <mergeCell ref="E44:W44"/>
    <mergeCell ref="X44:AA44"/>
    <mergeCell ref="B33:D33"/>
    <mergeCell ref="G33:I33"/>
    <mergeCell ref="J33:P33"/>
    <mergeCell ref="AB33:AC33"/>
    <mergeCell ref="B32:D32"/>
    <mergeCell ref="E32:F33"/>
    <mergeCell ref="G32:I32"/>
    <mergeCell ref="J32:P32"/>
    <mergeCell ref="Q32:S33"/>
    <mergeCell ref="T32:U33"/>
    <mergeCell ref="X30:AA31"/>
    <mergeCell ref="AB30:AC30"/>
    <mergeCell ref="B31:D31"/>
    <mergeCell ref="G31:I31"/>
    <mergeCell ref="J31:P31"/>
    <mergeCell ref="AB31:AC31"/>
    <mergeCell ref="B29:W29"/>
    <mergeCell ref="X29:AA29"/>
    <mergeCell ref="AB29:AC29"/>
    <mergeCell ref="B30:D30"/>
    <mergeCell ref="E30:F31"/>
    <mergeCell ref="G30:I30"/>
    <mergeCell ref="J30:P30"/>
    <mergeCell ref="Q30:S31"/>
    <mergeCell ref="T30:U31"/>
    <mergeCell ref="V30:W31"/>
    <mergeCell ref="G28:I28"/>
    <mergeCell ref="J28:P28"/>
    <mergeCell ref="Q28:S28"/>
    <mergeCell ref="T28:U28"/>
    <mergeCell ref="V28:W28"/>
    <mergeCell ref="X28:AA28"/>
    <mergeCell ref="G27:I27"/>
    <mergeCell ref="J27:P27"/>
    <mergeCell ref="Q27:S27"/>
    <mergeCell ref="T27:U27"/>
    <mergeCell ref="V27:W27"/>
    <mergeCell ref="X27:AA27"/>
    <mergeCell ref="G26:I26"/>
    <mergeCell ref="J26:P26"/>
    <mergeCell ref="Q26:S26"/>
    <mergeCell ref="T26:U26"/>
    <mergeCell ref="V26:W26"/>
    <mergeCell ref="X26:AA26"/>
    <mergeCell ref="Q24:S24"/>
    <mergeCell ref="T24:U24"/>
    <mergeCell ref="V24:W24"/>
    <mergeCell ref="X24:AA24"/>
    <mergeCell ref="B25:D28"/>
    <mergeCell ref="E25:F28"/>
    <mergeCell ref="G25:I25"/>
    <mergeCell ref="J25:P25"/>
    <mergeCell ref="Q25:S25"/>
    <mergeCell ref="T25:U25"/>
    <mergeCell ref="V22:W23"/>
    <mergeCell ref="X22:AA23"/>
    <mergeCell ref="AB22:AC28"/>
    <mergeCell ref="B23:D23"/>
    <mergeCell ref="G23:I23"/>
    <mergeCell ref="J23:P23"/>
    <mergeCell ref="B24:D24"/>
    <mergeCell ref="E24:F24"/>
    <mergeCell ref="G24:I24"/>
    <mergeCell ref="J24:P24"/>
    <mergeCell ref="B22:D22"/>
    <mergeCell ref="E22:F23"/>
    <mergeCell ref="G22:I22"/>
    <mergeCell ref="J22:P22"/>
    <mergeCell ref="Q22:S23"/>
    <mergeCell ref="T22:U23"/>
    <mergeCell ref="V25:W25"/>
    <mergeCell ref="X25:AA25"/>
    <mergeCell ref="V17:W17"/>
    <mergeCell ref="X17:AA17"/>
    <mergeCell ref="B18:D21"/>
    <mergeCell ref="E18:F21"/>
    <mergeCell ref="G18:I18"/>
    <mergeCell ref="J18:P18"/>
    <mergeCell ref="Q18:S18"/>
    <mergeCell ref="T18:U18"/>
    <mergeCell ref="V18:W18"/>
    <mergeCell ref="X18:AA18"/>
    <mergeCell ref="G21:I21"/>
    <mergeCell ref="J21:P21"/>
    <mergeCell ref="Q21:S21"/>
    <mergeCell ref="T21:U21"/>
    <mergeCell ref="V21:W21"/>
    <mergeCell ref="X21:AA21"/>
    <mergeCell ref="G20:I20"/>
    <mergeCell ref="J20:P20"/>
    <mergeCell ref="Q20:S20"/>
    <mergeCell ref="T20:U20"/>
    <mergeCell ref="V20:W20"/>
    <mergeCell ref="X20:AA20"/>
    <mergeCell ref="B15:D15"/>
    <mergeCell ref="E15:F16"/>
    <mergeCell ref="G15:I15"/>
    <mergeCell ref="J15:P15"/>
    <mergeCell ref="Q15:S16"/>
    <mergeCell ref="T15:U16"/>
    <mergeCell ref="V15:W16"/>
    <mergeCell ref="X15:AA16"/>
    <mergeCell ref="AB15:AC21"/>
    <mergeCell ref="B16:D16"/>
    <mergeCell ref="G16:I16"/>
    <mergeCell ref="J16:P16"/>
    <mergeCell ref="B17:D17"/>
    <mergeCell ref="E17:F17"/>
    <mergeCell ref="G17:I17"/>
    <mergeCell ref="J17:P17"/>
    <mergeCell ref="Q17:S17"/>
    <mergeCell ref="T17:U17"/>
    <mergeCell ref="G19:I19"/>
    <mergeCell ref="J19:P19"/>
    <mergeCell ref="Q19:S19"/>
    <mergeCell ref="T19:U19"/>
    <mergeCell ref="V19:W19"/>
    <mergeCell ref="X19:AA19"/>
    <mergeCell ref="B10:H10"/>
    <mergeCell ref="I10:V10"/>
    <mergeCell ref="W10:Y10"/>
    <mergeCell ref="Z10:AC10"/>
    <mergeCell ref="B12:D12"/>
    <mergeCell ref="B13:I14"/>
    <mergeCell ref="J13:P14"/>
    <mergeCell ref="Q13:S14"/>
    <mergeCell ref="T13:U14"/>
    <mergeCell ref="V13:W14"/>
    <mergeCell ref="X13:AA14"/>
    <mergeCell ref="AB13:AC14"/>
    <mergeCell ref="W8:Y8"/>
    <mergeCell ref="Z8:AC8"/>
    <mergeCell ref="B9:D9"/>
    <mergeCell ref="E9:H9"/>
    <mergeCell ref="I9:K9"/>
    <mergeCell ref="L9:O9"/>
    <mergeCell ref="P9:R9"/>
    <mergeCell ref="S9:V9"/>
    <mergeCell ref="W9:Y9"/>
    <mergeCell ref="Z9:AC9"/>
    <mergeCell ref="B8:D8"/>
    <mergeCell ref="E8:H8"/>
    <mergeCell ref="I8:K8"/>
    <mergeCell ref="L8:O8"/>
    <mergeCell ref="P8:R8"/>
    <mergeCell ref="S8:V8"/>
    <mergeCell ref="W6:Y6"/>
    <mergeCell ref="Z6:AC6"/>
    <mergeCell ref="B7:D7"/>
    <mergeCell ref="E7:V7"/>
    <mergeCell ref="W7:Y7"/>
    <mergeCell ref="Z7:AC7"/>
    <mergeCell ref="B6:D6"/>
    <mergeCell ref="E6:H6"/>
    <mergeCell ref="I6:K6"/>
    <mergeCell ref="L6:O6"/>
    <mergeCell ref="P6:R6"/>
    <mergeCell ref="S6:V6"/>
    <mergeCell ref="B2:AC2"/>
    <mergeCell ref="B4:D4"/>
    <mergeCell ref="B5:D5"/>
    <mergeCell ref="E5:H5"/>
    <mergeCell ref="I5:K5"/>
    <mergeCell ref="L5:O5"/>
    <mergeCell ref="P5:R5"/>
    <mergeCell ref="S5:V5"/>
    <mergeCell ref="W5:Y5"/>
    <mergeCell ref="Z5:AC5"/>
  </mergeCells>
  <phoneticPr fontId="2" type="noConversion"/>
  <dataValidations count="9">
    <dataValidation type="list" allowBlank="1" showInputMessage="1" showErrorMessage="1" sqref="J24:P24" xr:uid="{B5122A80-7DE1-4BA9-9ADB-13004570D6C2}">
      <formula1>IF($G$24="국산MMA",국산MMA_리스트, IF($G$24="쿼츠",쿼츠_리스트, IF($G$24="세라믹",세라믹_리스트,"")))</formula1>
    </dataValidation>
    <dataValidation type="list" allowBlank="1" showInputMessage="1" showErrorMessage="1" sqref="J17:P17" xr:uid="{4B031CC6-76A3-4BDD-A8A9-459BFFCB5960}">
      <formula1>IF($G$17="국산MMA",국산MMA_리스트, IF($G$17="쿼츠",쿼츠_리스트, IF($G$17="세라믹",세라믹_리스트,"")))</formula1>
    </dataValidation>
    <dataValidation type="list" allowBlank="1" showInputMessage="1" showErrorMessage="1" sqref="J16:P16 J23:P23 J31:P31 J33:P33" xr:uid="{A5882AAB-064E-46C0-829E-8D9E9CC2FD83}">
      <formula1>"진그레이,연그레이"</formula1>
    </dataValidation>
    <dataValidation type="list" allowBlank="1" showInputMessage="1" showErrorMessage="1" sqref="G17:I17 G24:I24" xr:uid="{ADD12A1C-D90D-477F-AC94-47FA2A1A44D8}">
      <formula1>"국산MMA,쿼츠,세라믹"</formula1>
    </dataValidation>
    <dataValidation type="list" allowBlank="1" showInputMessage="1" showErrorMessage="1" sqref="L9:O9 S9:V9 Z8:AC10" xr:uid="{D407C500-91CC-48EA-AE3C-6E66B688062D}">
      <formula1>"○,X"</formula1>
    </dataValidation>
    <dataValidation type="list" allowBlank="1" showInputMessage="1" showErrorMessage="1" sqref="E9:H9" xr:uid="{131C6D48-FAB6-48C6-9674-2980D643ECE8}">
      <formula1>"ATP,다세대 주택,주택,기타"</formula1>
    </dataValidation>
    <dataValidation type="list" allowBlank="1" showInputMessage="1" showErrorMessage="1" sqref="Z6:AC6" xr:uid="{B701DAA3-C1E8-432F-9919-1369E3B04017}">
      <formula1>"박성호,이금동,최현지"</formula1>
    </dataValidation>
    <dataValidation type="list" allowBlank="1" showInputMessage="1" showErrorMessage="1" prompt="영업소를 선택하세요" sqref="S5:V5" xr:uid="{A1F6AEB1-8DB6-442A-8FB0-2C06C6963195}">
      <formula1>"서울, 경기남부, 경인, 기타"</formula1>
    </dataValidation>
    <dataValidation type="list" allowBlank="1" showInputMessage="1" showErrorMessage="1" prompt="Line_up을 선택하세요" sqref="L5:O5" xr:uid="{43581A5E-567F-457C-8888-7D0F0AB59266}">
      <formula1>"H-Line, B-Line, Lifus"</formula1>
    </dataValidation>
  </dataValidations>
  <pageMargins left="0.23622047244094491" right="0.23622047244094491" top="0.54" bottom="0.25" header="0.26" footer="0.17"/>
  <pageSetup paperSize="9" scale="6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C410FA319A3724BAF28F8B2919D88FC" ma:contentTypeVersion="3" ma:contentTypeDescription="새 문서를 만듭니다." ma:contentTypeScope="" ma:versionID="fc97fe7f4dae15cf62118edc968a5f4e">
  <xsd:schema xmlns:xsd="http://www.w3.org/2001/XMLSchema" xmlns:xs="http://www.w3.org/2001/XMLSchema" xmlns:p="http://schemas.microsoft.com/office/2006/metadata/properties" xmlns:ns2="d9b98283-5717-4983-a9c3-3c5a7135df8a" targetNamespace="http://schemas.microsoft.com/office/2006/metadata/properties" ma:root="true" ma:fieldsID="894fe6bdb7011556824246034753bd78" ns2:_="">
    <xsd:import namespace="d9b98283-5717-4983-a9c3-3c5a7135df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b98283-5717-4983-a9c3-3c5a7135df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35BFB6-207F-40AF-95E2-FD4CE006EF11}">
  <ds:schemaRefs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d9b98283-5717-4983-a9c3-3c5a7135df8a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1C83D2E-79F8-4AC5-BF73-E32BF3C157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b98283-5717-4983-a9c3-3c5a7135df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CE68C9-5633-4BF2-89C8-3B57B2BC8D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견적서_벤더 송부용 (신형식)</vt:lpstr>
      <vt:lpstr>'견적서_벤더 송부용 (신형식)'!Print_Area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jihoon kim</cp:lastModifiedBy>
  <cp:lastPrinted>2026-03-24T05:31:24Z</cp:lastPrinted>
  <dcterms:created xsi:type="dcterms:W3CDTF">2021-10-14T10:17:43Z</dcterms:created>
  <dcterms:modified xsi:type="dcterms:W3CDTF">2026-04-06T13:47:15Z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0x0101009C410FA319A3724BAF28F8B2919D88FC</vt:lpwstr>
  </property>
</Properties>
</file>